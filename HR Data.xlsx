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28E0D84A-AEDE-4473-A6A1-5773092D90C5}" xr6:coauthVersionLast="47" xr6:coauthVersionMax="47" xr10:uidLastSave="{00000000-0000-0000-0000-000000000000}"/>
  <bookViews>
    <workbookView xWindow="-120" yWindow="-120" windowWidth="20730" windowHeight="11040" xr2:uid="{408BA6AB-5196-496B-9C80-B057CC378CDA}"/>
  </bookViews>
  <sheets>
    <sheet name="Dashboard" sheetId="2" r:id="rId1"/>
    <sheet name="Data" sheetId="1" r:id="rId2"/>
    <sheet name="PivotTable"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 i="3" l="1"/>
  <c r="X17" i="3"/>
  <c r="X16" i="3"/>
  <c r="X15" i="3"/>
  <c r="X14" i="3"/>
  <c r="X13" i="3"/>
  <c r="U17" i="3"/>
  <c r="U16" i="3"/>
  <c r="U15" i="3"/>
  <c r="U14" i="3"/>
  <c r="U13" i="3"/>
  <c r="C13" i="3"/>
  <c r="J15" i="3"/>
  <c r="J18" i="3"/>
  <c r="J17" i="3"/>
  <c r="C12" i="3"/>
  <c r="J14" i="3"/>
  <c r="O13" i="3"/>
  <c r="O12" i="3"/>
  <c r="C11" i="3"/>
  <c r="O11" i="3"/>
  <c r="J23" i="3"/>
  <c r="J22" i="3"/>
  <c r="J16" i="3"/>
  <c r="R17" i="3"/>
  <c r="R16" i="3"/>
  <c r="R15" i="3"/>
  <c r="R14" i="3"/>
  <c r="R13" i="3"/>
  <c r="G13" i="3"/>
  <c r="F16" i="3"/>
  <c r="F13" i="3"/>
  <c r="F15" i="3"/>
  <c r="G16" i="3"/>
  <c r="G17" i="3"/>
  <c r="F14" i="3"/>
  <c r="F17" i="3"/>
  <c r="G15" i="3"/>
  <c r="G14" i="3"/>
  <c r="G18" i="3" l="1"/>
  <c r="U18" i="3"/>
  <c r="R18" i="3"/>
  <c r="J24" i="3"/>
  <c r="K22" i="3"/>
  <c r="L22" i="3" s="1"/>
  <c r="K23" i="3"/>
  <c r="L23" i="3" s="1"/>
  <c r="N17" i="3"/>
  <c r="O17" i="3" s="1"/>
  <c r="C14" i="3"/>
  <c r="F18" i="3"/>
  <c r="N18" i="3"/>
  <c r="O18" i="3" s="1"/>
  <c r="N19" i="3"/>
  <c r="O19" i="3" s="1"/>
  <c r="J19" i="3"/>
  <c r="O14" i="3"/>
</calcChain>
</file>

<file path=xl/sharedStrings.xml><?xml version="1.0" encoding="utf-8"?>
<sst xmlns="http://schemas.openxmlformats.org/spreadsheetml/2006/main" count="876" uniqueCount="228">
  <si>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</si>
  <si>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</si>
  <si>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</si>
  <si>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</si>
  <si>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</si>
  <si>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</si>
  <si>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</si>
  <si>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</si>
  <si>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</si>
  <si>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</si>
  <si>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</si>
  <si>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</si>
  <si>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</si>
  <si>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</si>
  <si>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</si>
  <si>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</si>
  <si>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</si>
  <si>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</si>
  <si>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</si>
  <si>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</si>
  <si>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</si>
  <si>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</si>
  <si>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</si>
  <si>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</si>
  <si>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</si>
  <si>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</si>
  <si>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</si>
  <si>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</si>
  <si>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</si>
  <si>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</si>
  <si>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</si>
  <si>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</si>
  <si>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</si>
  <si>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</si>
  <si>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</si>
  <si>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</si>
  <si>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</si>
  <si>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</si>
  <si>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</si>
  <si>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</si>
  <si>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</si>
  <si>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</si>
  <si>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</si>
  <si>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</si>
  <si>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</si>
  <si>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</si>
  <si>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</si>
  <si>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</si>
  <si>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</si>
  <si>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</si>
  <si>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</si>
  <si>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</si>
  <si>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</si>
  <si>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</si>
  <si>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</si>
  <si>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</si>
  <si>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</si>
  <si>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</si>
  <si>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</si>
  <si>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</si>
  <si>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</si>
  <si>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</si>
  <si>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</si>
  <si>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</si>
  <si>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</si>
  <si>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</si>
  <si>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</si>
  <si>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</si>
  <si>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</si>
  <si>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</si>
  <si>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</si>
  <si>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</si>
  <si>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</si>
  <si>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</si>
  <si>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</si>
  <si>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</si>
  <si>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</si>
  <si>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</si>
  <si>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</si>
  <si>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</si>
  <si>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</si>
  <si>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</si>
  <si>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</si>
  <si>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</si>
  <si>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</si>
  <si>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</si>
  <si>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</si>
  <si>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</si>
  <si>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</si>
  <si>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</si>
  <si>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</si>
  <si>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</si>
  <si>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</si>
  <si>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</si>
  <si>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</si>
  <si>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</si>
  <si>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</si>
  <si>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</si>
  <si>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</si>
  <si>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</si>
  <si>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</si>
  <si>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</si>
  <si>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</si>
  <si>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</si>
  <si>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</si>
  <si>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</si>
  <si>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</si>
  <si>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</si>
  <si>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</si>
  <si>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</si>
  <si>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</si>
  <si>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</si>
  <si>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</si>
  <si>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</si>
  <si>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</si>
  <si>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</si>
  <si>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</si>
  <si>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</si>
  <si>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</si>
  <si>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</si>
  <si>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</si>
  <si>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</si>
  <si>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</si>
  <si>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</si>
  <si>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</si>
  <si>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</si>
  <si>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</si>
  <si>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</si>
  <si>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</si>
  <si>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</si>
  <si>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</si>
  <si>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</si>
  <si>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</si>
  <si>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</si>
  <si>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</si>
  <si>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</si>
  <si>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</si>
  <si>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</si>
  <si>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</si>
  <si>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</si>
  <si>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</si>
  <si>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</si>
  <si>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</si>
  <si>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</si>
  <si>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</si>
  <si>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</si>
  <si>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</si>
  <si>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</si>
  <si>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</si>
  <si>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</si>
  <si>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</si>
  <si>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</si>
  <si>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</si>
  <si>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</si>
  <si>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</si>
  <si>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</si>
  <si>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</si>
  <si>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</si>
  <si>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</si>
  <si>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</si>
  <si>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</si>
  <si>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</si>
  <si>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</si>
  <si>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</si>
  <si>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</si>
  <si>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</si>
  <si>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</si>
  <si>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</si>
  <si>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</si>
  <si>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</si>
  <si>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</si>
  <si>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</si>
  <si>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</si>
  <si>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</si>
  <si>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</si>
  <si>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</si>
  <si>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</si>
  <si>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</si>
  <si>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</si>
  <si>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</si>
  <si>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</si>
  <si>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</si>
  <si>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</si>
  <si>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</si>
  <si>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</si>
  <si>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</si>
  <si>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</si>
  <si>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</si>
  <si>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</si>
  <si>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</si>
  <si>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</si>
  <si>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</si>
  <si>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</si>
  <si>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</si>
  <si>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</si>
  <si>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</si>
  <si>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</si>
  <si>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</si>
  <si>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</si>
  <si>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</si>
  <si>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</si>
  <si>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</si>
  <si>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</si>
  <si>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</si>
  <si>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</si>
  <si>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</si>
  <si>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</si>
  <si>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</si>
  <si>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</si>
  <si>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</si>
  <si>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</si>
  <si>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</si>
  <si>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</si>
  <si>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</si>
  <si>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</si>
  <si>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</si>
  <si>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</si>
  <si>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No of employees to employment status</t>
  </si>
  <si>
    <t>Total</t>
  </si>
  <si>
    <t>Sum of Salary</t>
  </si>
  <si>
    <t>Salaries to departments</t>
  </si>
  <si>
    <t>Column Labels</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</si>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</sst>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theme="1"/>
      <name val="Segoe UI"/>
      <family val="2"/>
    </font>
    <font>
      <b/>
      <sz val="11"/>
      <color theme="0"/>
      <name val="Segoe UI"/>
      <family val="2"/>
    </font>
    <font>
      <b/>
      <sz val="11"/>
      <color theme="1"/>
      <name val="Segoe UI"/>
      <family val="2"/>
    </font>
  </fonts>
  <fills count="5">
    <fill>
      <patternFill patternType="none"/>
    </fill>
    <fill>
      <patternFill patternType="gray125"/>
    </fill>
    <fill>
      <patternFill patternType="solid">
        <fgColor rgb="FF282828"/>
        <bgColor indexed="64"/>
      </patternFill>
    </fill>
    <fill>
      <patternFill patternType="solid">
        <fgColor rgb="FF121430"/>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43" fontId="4" fillId="0" borderId="0" applyFont="0" applyFill="0" applyBorder="0" applyAlignment="0" applyProtection="0"/>
  </cellStyleXfs>
  <cellXfs count="1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3" borderId="0" xfId="0" applyFill="1"/>
    <xf numFmtId="0" fontId="5" fillId="0" borderId="0" xfId="0" applyFont="1"/>
    <xf numFmtId="0" fontId="6" fillId="4" borderId="0" xfId="0" applyFont="1" applyFill="1" applyAlignment="1">
      <alignment horizontal="center" vertical="center"/>
    </xf>
    <xf numFmtId="0" fontId="5" fillId="0" borderId="0" xfId="0" pivotButton="1" applyFont="1"/>
    <xf numFmtId="0" fontId="5" fillId="0" borderId="0" xfId="0" applyFont="1" applyAlignment="1">
      <alignment horizontal="left"/>
    </xf>
    <xf numFmtId="164" fontId="5" fillId="0" borderId="0" xfId="0" applyNumberFormat="1" applyFont="1"/>
    <xf numFmtId="165" fontId="5" fillId="0" borderId="0" xfId="0" applyNumberFormat="1" applyFont="1"/>
    <xf numFmtId="164" fontId="5" fillId="0" borderId="0" xfId="1" applyNumberFormat="1" applyFont="1"/>
    <xf numFmtId="10" fontId="7" fillId="0" borderId="0" xfId="0" applyNumberFormat="1" applyFont="1"/>
    <xf numFmtId="9" fontId="7" fillId="0" borderId="0" xfId="0" applyNumberFormat="1" applyFont="1"/>
    <xf numFmtId="9" fontId="5" fillId="0" borderId="0" xfId="0" applyNumberFormat="1" applyFont="1"/>
  </cellXfs>
  <cellStyles count="2">
    <cellStyle name="Comma" xfId="1" builtinId="3"/>
    <cellStyle name="Normal" xfId="0" builtinId="0"/>
  </cellStyles>
  <dxfs count="93">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Kulim Park"/>
        <scheme val="none"/>
      </font>
    </dxf>
    <dxf>
      <font>
        <name val="Kulim Park"/>
        <scheme val="none"/>
      </font>
    </dxf>
    <dxf>
      <font>
        <name val="Kulim Park"/>
        <scheme val="none"/>
      </font>
    </dxf>
    <dxf>
      <font>
        <name val="Kulim Park"/>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Kulim Park"/>
        <scheme val="none"/>
      </font>
    </dxf>
    <dxf>
      <font>
        <name val="Kulim Park"/>
        <scheme val="none"/>
      </font>
    </dxf>
    <dxf>
      <numFmt numFmtId="164" formatCode="_ * #,##0_ ;_ * \-#,##0_ ;_ * &quot;-&quot;??_ ;_ @_ "/>
    </dxf>
    <dxf>
      <numFmt numFmtId="165"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ill>
        <patternFill>
          <bgColor rgb="FF1F2357"/>
        </patternFill>
      </fill>
      <border diagonalUp="0" diagonalDown="0">
        <left/>
        <right/>
        <top/>
        <bottom/>
        <vertical/>
        <horizontal/>
      </border>
    </dxf>
  </dxfs>
  <tableStyles count="2" defaultTableStyle="TableStyleMedium2" defaultPivotStyle="PivotStyleLight16">
    <tableStyle name="Slicer Style 1" pivot="0" table="0" count="0" xr9:uid="{B21B7EA3-EC58-4760-9361-C0078EE84A0F}"/>
    <tableStyle name="Slicer Style 2" pivot="0" table="0" count="3" xr9:uid="{AF0A7AAC-ACF2-4B7E-A7DF-ECFACB54622F}">
      <tableStyleElement type="wholeTable" dxfId="92"/>
    </tableStyle>
  </tableStyles>
  <colors>
    <mruColors>
      <color rgb="FF1F2357"/>
      <color rgb="FF1E2052"/>
      <color rgb="FFFF00FF"/>
      <color rgb="FF0070B1"/>
      <color rgb="FF2E327F"/>
      <color rgb="FF00B7D2"/>
      <color rgb="FF10123A"/>
      <color rgb="FF007081"/>
      <color rgb="FF2E327A"/>
      <color rgb="FF808AEC"/>
    </mruColors>
  </colors>
  <extLst>
    <ext xmlns:x14="http://schemas.microsoft.com/office/spreadsheetml/2009/9/main" uri="{46F421CA-312F-682f-3DD2-61675219B42D}">
      <x14:dxfs count="2">
        <dxf>
          <font>
            <b/>
            <i val="0"/>
            <color theme="0"/>
          </font>
          <fill>
            <gradientFill degree="90">
              <stop position="0">
                <color rgb="FF0070B1"/>
              </stop>
              <stop position="1">
                <color rgb="FFFF00FF"/>
              </stop>
            </gradientFill>
          </fill>
          <border diagonalUp="0" diagonalDown="0">
            <left/>
            <right/>
            <top/>
            <bottom/>
            <vertical/>
            <horizontal/>
          </border>
        </dxf>
        <dxf>
          <fill>
            <patternFill>
              <bgColor rgb="FF1E20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98020470956484"/>
          <c:y val="6.4102564102564097E-2"/>
          <c:w val="0.80952441449052581"/>
          <c:h val="1"/>
        </c:manualLayout>
      </c:layout>
      <c:pieChart>
        <c:varyColors val="1"/>
        <c:ser>
          <c:idx val="0"/>
          <c:order val="0"/>
          <c:spPr>
            <a:ln>
              <a:noFill/>
            </a:ln>
          </c:spPr>
          <c:explosion val="8"/>
          <c:dPt>
            <c:idx val="0"/>
            <c:bubble3D val="0"/>
            <c:spPr>
              <a:gradFill>
                <a:gsLst>
                  <a:gs pos="0">
                    <a:srgbClr val="007081">
                      <a:lumMod val="62000"/>
                      <a:lumOff val="38000"/>
                    </a:srgbClr>
                  </a:gs>
                  <a:gs pos="100000">
                    <a:srgbClr val="00B7D2"/>
                  </a:gs>
                </a:gsLst>
                <a:lin ang="5400000" scaled="1"/>
              </a:gradFill>
              <a:ln w="19050">
                <a:noFill/>
              </a:ln>
              <a:effectLst/>
            </c:spPr>
            <c:extLst>
              <c:ext xmlns:c16="http://schemas.microsoft.com/office/drawing/2014/chart" uri="{C3380CC4-5D6E-409C-BE32-E72D297353CC}">
                <c16:uniqueId val="{00000001-D75C-4B63-A216-16372BB9D5ED}"/>
              </c:ext>
            </c:extLst>
          </c:dPt>
          <c:dPt>
            <c:idx val="1"/>
            <c:bubble3D val="0"/>
            <c:explosion val="14"/>
            <c:spPr>
              <a:gradFill>
                <a:gsLst>
                  <a:gs pos="0">
                    <a:srgbClr val="808AEC">
                      <a:alpha val="40000"/>
                    </a:srgbClr>
                  </a:gs>
                  <a:gs pos="100000">
                    <a:srgbClr val="808AEC">
                      <a:alpha val="86000"/>
                    </a:srgbClr>
                  </a:gs>
                </a:gsLst>
                <a:lin ang="5400000" scaled="1"/>
              </a:gradFill>
              <a:ln w="19050">
                <a:noFill/>
              </a:ln>
              <a:effectLst/>
            </c:spPr>
            <c:extLst>
              <c:ext xmlns:c16="http://schemas.microsoft.com/office/drawing/2014/chart" uri="{C3380CC4-5D6E-409C-BE32-E72D297353CC}">
                <c16:uniqueId val="{00000003-D75C-4B63-A216-16372BB9D5ED}"/>
              </c:ext>
            </c:extLst>
          </c:dPt>
          <c:dPt>
            <c:idx val="2"/>
            <c:bubble3D val="0"/>
            <c:spPr>
              <a:gradFill>
                <a:gsLst>
                  <a:gs pos="0">
                    <a:srgbClr val="FF00FF">
                      <a:alpha val="88000"/>
                    </a:srgbClr>
                  </a:gs>
                  <a:gs pos="88000">
                    <a:srgbClr val="FF00FF"/>
                  </a:gs>
                </a:gsLst>
                <a:lin ang="5400000" scaled="1"/>
              </a:gradFill>
              <a:ln w="19050">
                <a:noFill/>
              </a:ln>
              <a:effectLst/>
            </c:spPr>
            <c:extLst>
              <c:ext xmlns:c16="http://schemas.microsoft.com/office/drawing/2014/chart" uri="{C3380CC4-5D6E-409C-BE32-E72D297353CC}">
                <c16:uniqueId val="{00000005-D75C-4B63-A216-16372BB9D5ED}"/>
              </c:ext>
            </c:extLst>
          </c:dPt>
          <c:cat>
            <c:strRef>
              <c:f>PivotTable!$B$11:$B$13</c:f>
              <c:strCache>
                <c:ptCount val="3"/>
                <c:pt idx="0">
                  <c:v>Contract</c:v>
                </c:pt>
                <c:pt idx="1">
                  <c:v>Full-Time</c:v>
                </c:pt>
                <c:pt idx="2">
                  <c:v>Part-Time</c:v>
                </c:pt>
              </c:strCache>
            </c:strRef>
          </c:cat>
          <c:val>
            <c:numRef>
              <c:f>PivotTable!$C$11:$C$13</c:f>
              <c:numCache>
                <c:formatCode>General</c:formatCode>
                <c:ptCount val="3"/>
                <c:pt idx="0">
                  <c:v>17</c:v>
                </c:pt>
                <c:pt idx="1">
                  <c:v>20</c:v>
                </c:pt>
                <c:pt idx="2">
                  <c:v>13</c:v>
                </c:pt>
              </c:numCache>
            </c:numRef>
          </c:val>
          <c:extLst>
            <c:ext xmlns:c16="http://schemas.microsoft.com/office/drawing/2014/chart" uri="{C3380CC4-5D6E-409C-BE32-E72D297353CC}">
              <c16:uniqueId val="{00000006-D75C-4B63-A216-16372BB9D5E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Data.xlsx]PivotTable!Age Range</c:name>
    <c:fmtId val="5"/>
  </c:pivotSource>
  <c:chart>
    <c:autoTitleDeleted val="0"/>
    <c:pivotFmts>
      <c:pivotFmt>
        <c:idx val="0"/>
        <c:spPr>
          <a:gradFill>
            <a:gsLst>
              <a:gs pos="0">
                <a:srgbClr val="007081"/>
              </a:gs>
              <a:gs pos="100000">
                <a:srgbClr val="00B7D2"/>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07081"/>
              </a:gs>
              <a:gs pos="100000">
                <a:srgbClr val="00B7D2"/>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0">
                <a:srgbClr val="007081">
                  <a:lumMod val="44000"/>
                  <a:lumOff val="56000"/>
                </a:srgbClr>
              </a:gs>
              <a:gs pos="100000">
                <a:srgbClr val="00B7D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7D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FF00FF">
                  <a:lumMod val="77000"/>
                  <a:lumOff val="23000"/>
                </a:srgbClr>
              </a:gs>
              <a:gs pos="90000">
                <a:srgbClr val="FF00FF">
                  <a:alpha val="5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56727148236903E-2"/>
          <c:y val="4.1121279030051451E-2"/>
          <c:w val="0.88132968161588499"/>
          <c:h val="0.81572197097943622"/>
        </c:manualLayout>
      </c:layout>
      <c:barChart>
        <c:barDir val="col"/>
        <c:grouping val="clustered"/>
        <c:varyColors val="0"/>
        <c:ser>
          <c:idx val="0"/>
          <c:order val="0"/>
          <c:tx>
            <c:strRef>
              <c:f>PivotTable!$J$4:$J$5</c:f>
              <c:strCache>
                <c:ptCount val="1"/>
                <c:pt idx="0">
                  <c:v>Female</c:v>
                </c:pt>
              </c:strCache>
            </c:strRef>
          </c:tx>
          <c:spPr>
            <a:gradFill>
              <a:gsLst>
                <a:gs pos="0">
                  <a:srgbClr val="007081">
                    <a:lumMod val="44000"/>
                    <a:lumOff val="56000"/>
                  </a:srgbClr>
                </a:gs>
                <a:gs pos="100000">
                  <a:srgbClr val="00B7D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7D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PivotTable!$I$6:$I$11</c:f>
              <c:strCache>
                <c:ptCount val="5"/>
                <c:pt idx="0">
                  <c:v>18-25</c:v>
                </c:pt>
                <c:pt idx="1">
                  <c:v>26-35</c:v>
                </c:pt>
                <c:pt idx="2">
                  <c:v>36-45</c:v>
                </c:pt>
                <c:pt idx="3">
                  <c:v>46-55</c:v>
                </c:pt>
                <c:pt idx="4">
                  <c:v>56 &lt;</c:v>
                </c:pt>
              </c:strCache>
            </c:strRef>
          </c:cat>
          <c:val>
            <c:numRef>
              <c:f>PivotTable!$J$6:$J$11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B89-49E3-8E45-E4CC3A209567}"/>
            </c:ext>
          </c:extLst>
        </c:ser>
        <c:ser>
          <c:idx val="1"/>
          <c:order val="1"/>
          <c:tx>
            <c:strRef>
              <c:f>PivotTable!$K$4:$K$5</c:f>
              <c:strCache>
                <c:ptCount val="1"/>
                <c:pt idx="0">
                  <c:v>Male</c:v>
                </c:pt>
              </c:strCache>
            </c:strRef>
          </c:tx>
          <c:spPr>
            <a:gradFill>
              <a:gsLst>
                <a:gs pos="0">
                  <a:srgbClr val="FF00FF">
                    <a:lumMod val="77000"/>
                    <a:lumOff val="23000"/>
                  </a:srgbClr>
                </a:gs>
                <a:gs pos="90000">
                  <a:srgbClr val="FF00FF">
                    <a:alpha val="55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PivotTable!$I$6:$I$11</c:f>
              <c:strCache>
                <c:ptCount val="5"/>
                <c:pt idx="0">
                  <c:v>18-25</c:v>
                </c:pt>
                <c:pt idx="1">
                  <c:v>26-35</c:v>
                </c:pt>
                <c:pt idx="2">
                  <c:v>36-45</c:v>
                </c:pt>
                <c:pt idx="3">
                  <c:v>46-55</c:v>
                </c:pt>
                <c:pt idx="4">
                  <c:v>56 &lt;</c:v>
                </c:pt>
              </c:strCache>
            </c:strRef>
          </c:cat>
          <c:val>
            <c:numRef>
              <c:f>PivotTable!$K$6:$K$11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DB89-49E3-8E45-E4CC3A209567}"/>
            </c:ext>
          </c:extLst>
        </c:ser>
        <c:dLbls>
          <c:dLblPos val="outEnd"/>
          <c:showLegendKey val="0"/>
          <c:showVal val="1"/>
          <c:showCatName val="0"/>
          <c:showSerName val="0"/>
          <c:showPercent val="0"/>
          <c:showBubbleSize val="0"/>
        </c:dLbls>
        <c:gapWidth val="219"/>
        <c:overlap val="-27"/>
        <c:axId val="19054336"/>
        <c:axId val="19058176"/>
      </c:barChart>
      <c:catAx>
        <c:axId val="190543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19058176"/>
        <c:crosses val="autoZero"/>
        <c:auto val="1"/>
        <c:lblAlgn val="ctr"/>
        <c:lblOffset val="100"/>
        <c:noMultiLvlLbl val="0"/>
      </c:catAx>
      <c:valAx>
        <c:axId val="19058176"/>
        <c:scaling>
          <c:orientation val="minMax"/>
        </c:scaling>
        <c:delete val="1"/>
        <c:axPos val="l"/>
        <c:majorGridlines>
          <c:spPr>
            <a:ln w="9525" cap="flat" cmpd="sng" algn="ctr">
              <a:solidFill>
                <a:srgbClr val="00B7D2">
                  <a:alpha val="36000"/>
                </a:srgbClr>
              </a:solidFill>
              <a:prstDash val="dashDot"/>
              <a:round/>
            </a:ln>
            <a:effectLst/>
          </c:spPr>
        </c:majorGridlines>
        <c:numFmt formatCode="General" sourceLinked="1"/>
        <c:majorTickMark val="out"/>
        <c:minorTickMark val="none"/>
        <c:tickLblPos val="nextTo"/>
        <c:crossAx val="190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a:gsLst>
                <a:gs pos="0">
                  <a:srgbClr val="00B7D2"/>
                </a:gs>
                <a:gs pos="100000">
                  <a:srgbClr val="00B7D2"/>
                </a:gs>
              </a:gsLst>
              <a:lin ang="5400000" scaled="1"/>
            </a:gradFill>
            <a:ln>
              <a:noFill/>
            </a:ln>
            <a:effectLst/>
          </c:spPr>
          <c:invertIfNegative val="0"/>
          <c:val>
            <c:numRef>
              <c:f>PivotTable!$N$17</c:f>
              <c:numCache>
                <c:formatCode>0%</c:formatCode>
                <c:ptCount val="1"/>
                <c:pt idx="0">
                  <c:v>0.46</c:v>
                </c:pt>
              </c:numCache>
            </c:numRef>
          </c:val>
          <c:extLst>
            <c:ext xmlns:c16="http://schemas.microsoft.com/office/drawing/2014/chart" uri="{C3380CC4-5D6E-409C-BE32-E72D297353CC}">
              <c16:uniqueId val="{00000000-4994-45E9-9361-2871582F24B1}"/>
            </c:ext>
          </c:extLst>
        </c:ser>
        <c:ser>
          <c:idx val="1"/>
          <c:order val="1"/>
          <c:spPr>
            <a:gradFill>
              <a:gsLst>
                <a:gs pos="0">
                  <a:srgbClr val="2E327A"/>
                </a:gs>
                <a:gs pos="100000">
                  <a:srgbClr val="2E327A"/>
                </a:gs>
              </a:gsLst>
              <a:lin ang="5400000" scaled="1"/>
            </a:gradFill>
            <a:ln>
              <a:gradFill>
                <a:gsLst>
                  <a:gs pos="0">
                    <a:srgbClr val="10123A">
                      <a:alpha val="31000"/>
                    </a:srgbClr>
                  </a:gs>
                  <a:gs pos="100000">
                    <a:srgbClr val="10123A">
                      <a:alpha val="22000"/>
                    </a:srgbClr>
                  </a:gs>
                </a:gsLst>
                <a:lin ang="5400000" scaled="1"/>
              </a:gradFill>
            </a:ln>
            <a:effectLst/>
          </c:spPr>
          <c:invertIfNegative val="0"/>
          <c:val>
            <c:numRef>
              <c:f>PivotTable!$O$17</c:f>
              <c:numCache>
                <c:formatCode>0%</c:formatCode>
                <c:ptCount val="1"/>
                <c:pt idx="0">
                  <c:v>0.54</c:v>
                </c:pt>
              </c:numCache>
            </c:numRef>
          </c:val>
          <c:extLst>
            <c:ext xmlns:c16="http://schemas.microsoft.com/office/drawing/2014/chart" uri="{C3380CC4-5D6E-409C-BE32-E72D297353CC}">
              <c16:uniqueId val="{00000001-4994-45E9-9361-2871582F24B1}"/>
            </c:ext>
          </c:extLst>
        </c:ser>
        <c:dLbls>
          <c:showLegendKey val="0"/>
          <c:showVal val="0"/>
          <c:showCatName val="0"/>
          <c:showSerName val="0"/>
          <c:showPercent val="0"/>
          <c:showBubbleSize val="0"/>
        </c:dLbls>
        <c:gapWidth val="150"/>
        <c:overlap val="100"/>
        <c:axId val="746090320"/>
        <c:axId val="746079760"/>
      </c:barChart>
      <c:catAx>
        <c:axId val="746090320"/>
        <c:scaling>
          <c:orientation val="minMax"/>
        </c:scaling>
        <c:delete val="1"/>
        <c:axPos val="l"/>
        <c:majorTickMark val="none"/>
        <c:minorTickMark val="none"/>
        <c:tickLblPos val="nextTo"/>
        <c:crossAx val="746079760"/>
        <c:crosses val="autoZero"/>
        <c:auto val="1"/>
        <c:lblAlgn val="ctr"/>
        <c:lblOffset val="100"/>
        <c:noMultiLvlLbl val="0"/>
      </c:catAx>
      <c:valAx>
        <c:axId val="746079760"/>
        <c:scaling>
          <c:orientation val="minMax"/>
        </c:scaling>
        <c:delete val="1"/>
        <c:axPos val="b"/>
        <c:numFmt formatCode="0%" sourceLinked="1"/>
        <c:majorTickMark val="none"/>
        <c:minorTickMark val="none"/>
        <c:tickLblPos val="nextTo"/>
        <c:crossAx val="74609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a:gsLst>
                <a:gs pos="0">
                  <a:srgbClr val="00B7D2"/>
                </a:gs>
                <a:gs pos="100000">
                  <a:srgbClr val="00B7D2"/>
                </a:gs>
              </a:gsLst>
              <a:lin ang="5400000" scaled="1"/>
            </a:gradFill>
            <a:ln>
              <a:noFill/>
            </a:ln>
            <a:effectLst/>
          </c:spPr>
          <c:invertIfNegative val="0"/>
          <c:val>
            <c:numRef>
              <c:f>PivotTable!$N$18</c:f>
              <c:numCache>
                <c:formatCode>0%</c:formatCode>
                <c:ptCount val="1"/>
                <c:pt idx="0">
                  <c:v>0.16</c:v>
                </c:pt>
              </c:numCache>
            </c:numRef>
          </c:val>
          <c:extLst>
            <c:ext xmlns:c16="http://schemas.microsoft.com/office/drawing/2014/chart" uri="{C3380CC4-5D6E-409C-BE32-E72D297353CC}">
              <c16:uniqueId val="{00000000-202C-4200-BDA1-595C6FE53D45}"/>
            </c:ext>
          </c:extLst>
        </c:ser>
        <c:ser>
          <c:idx val="1"/>
          <c:order val="1"/>
          <c:spPr>
            <a:gradFill>
              <a:gsLst>
                <a:gs pos="0">
                  <a:srgbClr val="2E327A"/>
                </a:gs>
                <a:gs pos="100000">
                  <a:srgbClr val="2E327A"/>
                </a:gs>
              </a:gsLst>
              <a:lin ang="5400000" scaled="1"/>
            </a:gradFill>
            <a:ln>
              <a:noFill/>
            </a:ln>
            <a:effectLst/>
          </c:spPr>
          <c:invertIfNegative val="0"/>
          <c:val>
            <c:numRef>
              <c:f>PivotTable!$O$18</c:f>
              <c:numCache>
                <c:formatCode>0%</c:formatCode>
                <c:ptCount val="1"/>
                <c:pt idx="0">
                  <c:v>0.84</c:v>
                </c:pt>
              </c:numCache>
            </c:numRef>
          </c:val>
          <c:extLst>
            <c:ext xmlns:c16="http://schemas.microsoft.com/office/drawing/2014/chart" uri="{C3380CC4-5D6E-409C-BE32-E72D297353CC}">
              <c16:uniqueId val="{00000001-202C-4200-BDA1-595C6FE53D45}"/>
            </c:ext>
          </c:extLst>
        </c:ser>
        <c:dLbls>
          <c:showLegendKey val="0"/>
          <c:showVal val="0"/>
          <c:showCatName val="0"/>
          <c:showSerName val="0"/>
          <c:showPercent val="0"/>
          <c:showBubbleSize val="0"/>
        </c:dLbls>
        <c:gapWidth val="150"/>
        <c:overlap val="100"/>
        <c:axId val="746101840"/>
        <c:axId val="746102800"/>
      </c:barChart>
      <c:catAx>
        <c:axId val="746101840"/>
        <c:scaling>
          <c:orientation val="minMax"/>
        </c:scaling>
        <c:delete val="1"/>
        <c:axPos val="l"/>
        <c:majorTickMark val="none"/>
        <c:minorTickMark val="none"/>
        <c:tickLblPos val="nextTo"/>
        <c:crossAx val="746102800"/>
        <c:crosses val="autoZero"/>
        <c:auto val="1"/>
        <c:lblAlgn val="ctr"/>
        <c:lblOffset val="100"/>
        <c:noMultiLvlLbl val="0"/>
      </c:catAx>
      <c:valAx>
        <c:axId val="746102800"/>
        <c:scaling>
          <c:orientation val="minMax"/>
        </c:scaling>
        <c:delete val="1"/>
        <c:axPos val="b"/>
        <c:numFmt formatCode="0%" sourceLinked="1"/>
        <c:majorTickMark val="none"/>
        <c:minorTickMark val="none"/>
        <c:tickLblPos val="nextTo"/>
        <c:crossAx val="7461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65154679715237"/>
          <c:y val="0.23655393243396555"/>
          <c:w val="0.89634845320284762"/>
          <c:h val="0.5268921351320689"/>
        </c:manualLayout>
      </c:layout>
      <c:barChart>
        <c:barDir val="bar"/>
        <c:grouping val="percentStacked"/>
        <c:varyColors val="0"/>
        <c:ser>
          <c:idx val="0"/>
          <c:order val="0"/>
          <c:spPr>
            <a:gradFill>
              <a:gsLst>
                <a:gs pos="0">
                  <a:srgbClr val="00B7D2"/>
                </a:gs>
                <a:gs pos="100000">
                  <a:srgbClr val="00B7D2"/>
                </a:gs>
              </a:gsLst>
              <a:lin ang="5400000" scaled="1"/>
            </a:gradFill>
            <a:ln>
              <a:noFill/>
            </a:ln>
            <a:effectLst/>
          </c:spPr>
          <c:invertIfNegative val="0"/>
          <c:val>
            <c:numRef>
              <c:f>PivotTable!$N$19</c:f>
              <c:numCache>
                <c:formatCode>0%</c:formatCode>
                <c:ptCount val="1"/>
                <c:pt idx="0">
                  <c:v>0.38</c:v>
                </c:pt>
              </c:numCache>
            </c:numRef>
          </c:val>
          <c:extLst>
            <c:ext xmlns:c16="http://schemas.microsoft.com/office/drawing/2014/chart" uri="{C3380CC4-5D6E-409C-BE32-E72D297353CC}">
              <c16:uniqueId val="{00000000-681E-4439-A178-37379B4A6EDE}"/>
            </c:ext>
          </c:extLst>
        </c:ser>
        <c:ser>
          <c:idx val="1"/>
          <c:order val="1"/>
          <c:spPr>
            <a:gradFill>
              <a:gsLst>
                <a:gs pos="0">
                  <a:srgbClr val="2E327A"/>
                </a:gs>
                <a:gs pos="100000">
                  <a:srgbClr val="2E327A"/>
                </a:gs>
              </a:gsLst>
              <a:lin ang="5400000" scaled="1"/>
            </a:gradFill>
            <a:ln>
              <a:noFill/>
            </a:ln>
            <a:effectLst/>
          </c:spPr>
          <c:invertIfNegative val="0"/>
          <c:val>
            <c:numRef>
              <c:f>PivotTable!$O$19</c:f>
              <c:numCache>
                <c:formatCode>0%</c:formatCode>
                <c:ptCount val="1"/>
                <c:pt idx="0">
                  <c:v>0.62</c:v>
                </c:pt>
              </c:numCache>
            </c:numRef>
          </c:val>
          <c:extLst>
            <c:ext xmlns:c16="http://schemas.microsoft.com/office/drawing/2014/chart" uri="{C3380CC4-5D6E-409C-BE32-E72D297353CC}">
              <c16:uniqueId val="{00000001-681E-4439-A178-37379B4A6EDE}"/>
            </c:ext>
          </c:extLst>
        </c:ser>
        <c:dLbls>
          <c:showLegendKey val="0"/>
          <c:showVal val="0"/>
          <c:showCatName val="0"/>
          <c:showSerName val="0"/>
          <c:showPercent val="0"/>
          <c:showBubbleSize val="0"/>
        </c:dLbls>
        <c:gapWidth val="150"/>
        <c:overlap val="100"/>
        <c:axId val="746098000"/>
        <c:axId val="746096080"/>
      </c:barChart>
      <c:catAx>
        <c:axId val="746098000"/>
        <c:scaling>
          <c:orientation val="minMax"/>
        </c:scaling>
        <c:delete val="1"/>
        <c:axPos val="l"/>
        <c:majorTickMark val="none"/>
        <c:minorTickMark val="none"/>
        <c:tickLblPos val="nextTo"/>
        <c:crossAx val="746096080"/>
        <c:crosses val="autoZero"/>
        <c:auto val="1"/>
        <c:lblAlgn val="ctr"/>
        <c:lblOffset val="100"/>
        <c:noMultiLvlLbl val="0"/>
      </c:catAx>
      <c:valAx>
        <c:axId val="746096080"/>
        <c:scaling>
          <c:orientation val="minMax"/>
        </c:scaling>
        <c:delete val="1"/>
        <c:axPos val="b"/>
        <c:numFmt formatCode="0%" sourceLinked="1"/>
        <c:majorTickMark val="none"/>
        <c:minorTickMark val="none"/>
        <c:tickLblPos val="nextTo"/>
        <c:crossAx val="74609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B7D2"/>
                  </a:gs>
                  <a:gs pos="100000">
                    <a:srgbClr val="00B7D2">
                      <a:lumMod val="44000"/>
                      <a:lumOff val="56000"/>
                    </a:srgbClr>
                  </a:gs>
                </a:gsLst>
                <a:lin ang="5400000" scaled="1"/>
              </a:gradFill>
              <a:ln w="19050">
                <a:noFill/>
              </a:ln>
              <a:effectLst/>
            </c:spPr>
            <c:extLst>
              <c:ext xmlns:c16="http://schemas.microsoft.com/office/drawing/2014/chart" uri="{C3380CC4-5D6E-409C-BE32-E72D297353CC}">
                <c16:uniqueId val="{00000001-02F2-4CCA-9798-841D45C8A2D2}"/>
              </c:ext>
            </c:extLst>
          </c:dPt>
          <c:dPt>
            <c:idx val="1"/>
            <c:bubble3D val="0"/>
            <c:spPr>
              <a:gradFill>
                <a:gsLst>
                  <a:gs pos="3000">
                    <a:srgbClr val="2E327A"/>
                  </a:gs>
                  <a:gs pos="100000">
                    <a:srgbClr val="333787"/>
                  </a:gs>
                </a:gsLst>
                <a:lin ang="9000000" scaled="0"/>
              </a:gradFill>
              <a:ln w="19050">
                <a:noFill/>
              </a:ln>
              <a:effectLst/>
            </c:spPr>
            <c:extLst>
              <c:ext xmlns:c16="http://schemas.microsoft.com/office/drawing/2014/chart" uri="{C3380CC4-5D6E-409C-BE32-E72D297353CC}">
                <c16:uniqueId val="{00000003-02F2-4CCA-9798-841D45C8A2D2}"/>
              </c:ext>
            </c:extLst>
          </c:dPt>
          <c:val>
            <c:numRef>
              <c:f>PivotTable!$K$23:$L$23</c:f>
              <c:numCache>
                <c:formatCode>0%</c:formatCode>
                <c:ptCount val="2"/>
                <c:pt idx="0">
                  <c:v>0.52</c:v>
                </c:pt>
                <c:pt idx="1">
                  <c:v>0.48</c:v>
                </c:pt>
              </c:numCache>
            </c:numRef>
          </c:val>
          <c:extLst>
            <c:ext xmlns:c16="http://schemas.microsoft.com/office/drawing/2014/chart" uri="{C3380CC4-5D6E-409C-BE32-E72D297353CC}">
              <c16:uniqueId val="{00000004-02F2-4CCA-9798-841D45C8A2D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3000">
                    <a:srgbClr val="FF00FF"/>
                  </a:gs>
                  <a:gs pos="100000">
                    <a:srgbClr val="FF00FF"/>
                  </a:gs>
                </a:gsLst>
                <a:lin ang="9000000" scaled="0"/>
              </a:gradFill>
              <a:ln w="19050">
                <a:noFill/>
              </a:ln>
              <a:effectLst/>
            </c:spPr>
            <c:extLst>
              <c:ext xmlns:c16="http://schemas.microsoft.com/office/drawing/2014/chart" uri="{C3380CC4-5D6E-409C-BE32-E72D297353CC}">
                <c16:uniqueId val="{00000001-8B81-4F9F-842E-9C9FB8B5173A}"/>
              </c:ext>
            </c:extLst>
          </c:dPt>
          <c:dPt>
            <c:idx val="1"/>
            <c:bubble3D val="0"/>
            <c:spPr>
              <a:gradFill>
                <a:gsLst>
                  <a:gs pos="0">
                    <a:srgbClr val="2E327A"/>
                  </a:gs>
                  <a:gs pos="100000">
                    <a:srgbClr val="2E327A"/>
                  </a:gs>
                </a:gsLst>
                <a:lin ang="9000000" scaled="0"/>
              </a:gradFill>
              <a:ln w="19050">
                <a:noFill/>
              </a:ln>
              <a:effectLst/>
            </c:spPr>
            <c:extLst>
              <c:ext xmlns:c16="http://schemas.microsoft.com/office/drawing/2014/chart" uri="{C3380CC4-5D6E-409C-BE32-E72D297353CC}">
                <c16:uniqueId val="{00000003-8B81-4F9F-842E-9C9FB8B5173A}"/>
              </c:ext>
            </c:extLst>
          </c:dPt>
          <c:val>
            <c:numRef>
              <c:f>PivotTable!$K$22:$L$22</c:f>
              <c:numCache>
                <c:formatCode>0%</c:formatCode>
                <c:ptCount val="2"/>
                <c:pt idx="0">
                  <c:v>0.48</c:v>
                </c:pt>
                <c:pt idx="1">
                  <c:v>0.52</c:v>
                </c:pt>
              </c:numCache>
            </c:numRef>
          </c:val>
          <c:extLst>
            <c:ext xmlns:c16="http://schemas.microsoft.com/office/drawing/2014/chart" uri="{C3380CC4-5D6E-409C-BE32-E72D297353CC}">
              <c16:uniqueId val="{00000004-8B81-4F9F-842E-9C9FB8B5173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PivotTable!$E$13</c:f>
              <c:strCache>
                <c:ptCount val="1"/>
                <c:pt idx="0">
                  <c:v>Analyst</c:v>
                </c:pt>
              </c:strCache>
            </c:strRef>
          </c:tx>
          <c:spPr>
            <a:gradFill>
              <a:gsLst>
                <a:gs pos="0">
                  <a:schemeClr val="accent2">
                    <a:lumMod val="40000"/>
                    <a:lumOff val="60000"/>
                    <a:alpha val="78000"/>
                  </a:schemeClr>
                </a:gs>
                <a:gs pos="100000">
                  <a:schemeClr val="accent2">
                    <a:lumMod val="60000"/>
                    <a:lumOff val="40000"/>
                  </a:schemeClr>
                </a:gs>
              </a:gsLst>
              <a:lin ang="5400000" scaled="1"/>
            </a:gradFill>
            <a:ln>
              <a:noFill/>
            </a:ln>
            <a:effectLst/>
          </c:spPr>
          <c:invertIfNegative val="0"/>
          <c:val>
            <c:numRef>
              <c:f>PivotTable!$G$13</c:f>
              <c:numCache>
                <c:formatCode>_ * #,##0_ ;_ * \-#,##0_ ;_ * "-"??_ ;_ @_ </c:formatCode>
                <c:ptCount val="1"/>
                <c:pt idx="0">
                  <c:v>28</c:v>
                </c:pt>
              </c:numCache>
            </c:numRef>
          </c:val>
          <c:extLst>
            <c:ext xmlns:c16="http://schemas.microsoft.com/office/drawing/2014/chart" uri="{C3380CC4-5D6E-409C-BE32-E72D297353CC}">
              <c16:uniqueId val="{00000000-1CC4-4A51-AB2C-7A43607E2839}"/>
            </c:ext>
          </c:extLst>
        </c:ser>
        <c:ser>
          <c:idx val="1"/>
          <c:order val="1"/>
          <c:tx>
            <c:strRef>
              <c:f>PivotTable!$E$14</c:f>
              <c:strCache>
                <c:ptCount val="1"/>
                <c:pt idx="0">
                  <c:v>Designer</c:v>
                </c:pt>
              </c:strCache>
            </c:strRef>
          </c:tx>
          <c:spPr>
            <a:gradFill>
              <a:gsLst>
                <a:gs pos="0">
                  <a:schemeClr val="accent3">
                    <a:lumMod val="60000"/>
                    <a:lumOff val="40000"/>
                    <a:alpha val="77000"/>
                  </a:schemeClr>
                </a:gs>
                <a:gs pos="100000">
                  <a:schemeClr val="accent3">
                    <a:lumMod val="75000"/>
                  </a:schemeClr>
                </a:gs>
              </a:gsLst>
              <a:lin ang="5400000" scaled="1"/>
            </a:gradFill>
            <a:ln>
              <a:noFill/>
            </a:ln>
            <a:effectLst/>
          </c:spPr>
          <c:invertIfNegative val="0"/>
          <c:val>
            <c:numRef>
              <c:f>PivotTable!$G$14</c:f>
              <c:numCache>
                <c:formatCode>_ * #,##0_ ;_ * \-#,##0_ ;_ * "-"??_ ;_ @_ </c:formatCode>
                <c:ptCount val="1"/>
                <c:pt idx="0">
                  <c:v>110</c:v>
                </c:pt>
              </c:numCache>
            </c:numRef>
          </c:val>
          <c:extLst>
            <c:ext xmlns:c16="http://schemas.microsoft.com/office/drawing/2014/chart" uri="{C3380CC4-5D6E-409C-BE32-E72D297353CC}">
              <c16:uniqueId val="{00000001-1CC4-4A51-AB2C-7A43607E2839}"/>
            </c:ext>
          </c:extLst>
        </c:ser>
        <c:ser>
          <c:idx val="2"/>
          <c:order val="2"/>
          <c:tx>
            <c:strRef>
              <c:f>PivotTable!$E$15</c:f>
              <c:strCache>
                <c:ptCount val="1"/>
                <c:pt idx="0">
                  <c:v>Developer</c:v>
                </c:pt>
              </c:strCache>
            </c:strRef>
          </c:tx>
          <c:spPr>
            <a:gradFill>
              <a:gsLst>
                <a:gs pos="0">
                  <a:srgbClr val="007081">
                    <a:alpha val="34000"/>
                  </a:srgbClr>
                </a:gs>
                <a:gs pos="100000">
                  <a:srgbClr val="00B7D2">
                    <a:alpha val="85000"/>
                  </a:srgbClr>
                </a:gs>
              </a:gsLst>
              <a:lin ang="5400000" scaled="1"/>
            </a:gradFill>
            <a:ln>
              <a:noFill/>
            </a:ln>
            <a:effectLst/>
          </c:spPr>
          <c:invertIfNegative val="0"/>
          <c:val>
            <c:numRef>
              <c:f>PivotTable!$G$15</c:f>
              <c:numCache>
                <c:formatCode>_ * #,##0_ ;_ * \-#,##0_ ;_ * "-"??_ ;_ @_ </c:formatCode>
                <c:ptCount val="1"/>
                <c:pt idx="0">
                  <c:v>104</c:v>
                </c:pt>
              </c:numCache>
            </c:numRef>
          </c:val>
          <c:extLst>
            <c:ext xmlns:c16="http://schemas.microsoft.com/office/drawing/2014/chart" uri="{C3380CC4-5D6E-409C-BE32-E72D297353CC}">
              <c16:uniqueId val="{00000002-1CC4-4A51-AB2C-7A43607E2839}"/>
            </c:ext>
          </c:extLst>
        </c:ser>
        <c:ser>
          <c:idx val="3"/>
          <c:order val="3"/>
          <c:tx>
            <c:strRef>
              <c:f>PivotTable!$E$16</c:f>
              <c:strCache>
                <c:ptCount val="1"/>
                <c:pt idx="0">
                  <c:v>HR Specialist</c:v>
                </c:pt>
              </c:strCache>
            </c:strRef>
          </c:tx>
          <c:spPr>
            <a:gradFill>
              <a:gsLst>
                <a:gs pos="0">
                  <a:srgbClr val="FF00FF"/>
                </a:gs>
                <a:gs pos="100000">
                  <a:srgbClr val="FF00FF">
                    <a:alpha val="52000"/>
                  </a:srgbClr>
                </a:gs>
              </a:gsLst>
              <a:lin ang="5400000" scaled="1"/>
            </a:gradFill>
            <a:ln>
              <a:noFill/>
            </a:ln>
            <a:effectLst/>
          </c:spPr>
          <c:invertIfNegative val="0"/>
          <c:val>
            <c:numRef>
              <c:f>PivotTable!$G$16</c:f>
              <c:numCache>
                <c:formatCode>_ * #,##0_ ;_ * \-#,##0_ ;_ * "-"??_ ;_ @_ </c:formatCode>
                <c:ptCount val="1"/>
                <c:pt idx="0">
                  <c:v>123</c:v>
                </c:pt>
              </c:numCache>
            </c:numRef>
          </c:val>
          <c:extLst>
            <c:ext xmlns:c16="http://schemas.microsoft.com/office/drawing/2014/chart" uri="{C3380CC4-5D6E-409C-BE32-E72D297353CC}">
              <c16:uniqueId val="{00000003-1CC4-4A51-AB2C-7A43607E2839}"/>
            </c:ext>
          </c:extLst>
        </c:ser>
        <c:ser>
          <c:idx val="4"/>
          <c:order val="4"/>
          <c:tx>
            <c:strRef>
              <c:f>PivotTable!$E$17</c:f>
              <c:strCache>
                <c:ptCount val="1"/>
                <c:pt idx="0">
                  <c:v>Manager</c:v>
                </c:pt>
              </c:strCache>
            </c:strRef>
          </c:tx>
          <c:spPr>
            <a:gradFill>
              <a:gsLst>
                <a:gs pos="0">
                  <a:srgbClr val="00B7D2"/>
                </a:gs>
                <a:gs pos="100000">
                  <a:schemeClr val="accent1">
                    <a:lumMod val="30000"/>
                    <a:lumOff val="70000"/>
                  </a:schemeClr>
                </a:gs>
              </a:gsLst>
              <a:lin ang="5400000" scaled="1"/>
            </a:gradFill>
            <a:ln>
              <a:noFill/>
            </a:ln>
            <a:effectLst/>
          </c:spPr>
          <c:invertIfNegative val="0"/>
          <c:val>
            <c:numRef>
              <c:f>PivotTable!$G$17</c:f>
              <c:numCache>
                <c:formatCode>_ * #,##0_ ;_ * \-#,##0_ ;_ * "-"??_ ;_ @_ </c:formatCode>
                <c:ptCount val="1"/>
                <c:pt idx="0">
                  <c:v>122</c:v>
                </c:pt>
              </c:numCache>
            </c:numRef>
          </c:val>
          <c:extLst>
            <c:ext xmlns:c16="http://schemas.microsoft.com/office/drawing/2014/chart" uri="{C3380CC4-5D6E-409C-BE32-E72D297353CC}">
              <c16:uniqueId val="{00000004-1CC4-4A51-AB2C-7A43607E2839}"/>
            </c:ext>
          </c:extLst>
        </c:ser>
        <c:dLbls>
          <c:showLegendKey val="0"/>
          <c:showVal val="0"/>
          <c:showCatName val="0"/>
          <c:showSerName val="0"/>
          <c:showPercent val="0"/>
          <c:showBubbleSize val="0"/>
        </c:dLbls>
        <c:gapWidth val="218"/>
        <c:overlap val="-27"/>
        <c:axId val="845455280"/>
        <c:axId val="845470640"/>
      </c:barChart>
      <c:catAx>
        <c:axId val="845455280"/>
        <c:scaling>
          <c:orientation val="minMax"/>
        </c:scaling>
        <c:delete val="1"/>
        <c:axPos val="b"/>
        <c:numFmt formatCode="General" sourceLinked="1"/>
        <c:majorTickMark val="none"/>
        <c:minorTickMark val="none"/>
        <c:tickLblPos val="nextTo"/>
        <c:crossAx val="845470640"/>
        <c:crosses val="autoZero"/>
        <c:auto val="1"/>
        <c:lblAlgn val="ctr"/>
        <c:lblOffset val="100"/>
        <c:noMultiLvlLbl val="0"/>
      </c:catAx>
      <c:valAx>
        <c:axId val="845470640"/>
        <c:scaling>
          <c:orientation val="minMax"/>
        </c:scaling>
        <c:delete val="1"/>
        <c:axPos val="l"/>
        <c:majorGridlines>
          <c:spPr>
            <a:ln w="9525" cap="flat" cmpd="sng" algn="ctr">
              <a:gradFill>
                <a:gsLst>
                  <a:gs pos="0">
                    <a:schemeClr val="accent1">
                      <a:lumMod val="5000"/>
                      <a:lumOff val="95000"/>
                      <a:alpha val="10000"/>
                    </a:schemeClr>
                  </a:gs>
                  <a:gs pos="100000">
                    <a:schemeClr val="accent1">
                      <a:lumMod val="30000"/>
                      <a:lumOff val="70000"/>
                      <a:alpha val="0"/>
                    </a:schemeClr>
                  </a:gs>
                </a:gsLst>
                <a:lin ang="5400000" scaled="1"/>
              </a:gradFill>
              <a:round/>
            </a:ln>
            <a:effectLst/>
          </c:spPr>
        </c:majorGridlines>
        <c:numFmt formatCode="_ * #,##0_ ;_ * \-#,##0_ ;_ * &quot;-&quot;??_ ;_ @_ " sourceLinked="1"/>
        <c:majorTickMark val="none"/>
        <c:minorTickMark val="none"/>
        <c:tickLblPos val="nextTo"/>
        <c:crossAx val="845455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Data.xlsx]PivotTable!Region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7D2"/>
              </a:gs>
              <a:gs pos="100000">
                <a:schemeClr val="bg1">
                  <a:lumMod val="51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PivotTable!$U$4</c:f>
              <c:strCache>
                <c:ptCount val="1"/>
                <c:pt idx="0">
                  <c:v>Total</c:v>
                </c:pt>
              </c:strCache>
            </c:strRef>
          </c:tx>
          <c:spPr>
            <a:gradFill>
              <a:gsLst>
                <a:gs pos="0">
                  <a:srgbClr val="00B7D2"/>
                </a:gs>
                <a:gs pos="100000">
                  <a:schemeClr val="bg1">
                    <a:lumMod val="51000"/>
                  </a:schemeClr>
                </a:gs>
              </a:gsLst>
              <a:lin ang="5400000" scaled="1"/>
            </a:gradFill>
            <a:ln>
              <a:noFill/>
            </a:ln>
            <a:effectLst/>
          </c:spPr>
          <c:invertIfNegative val="0"/>
          <c:cat>
            <c:strRef>
              <c:f>PivotTable!$T$5:$T$10</c:f>
              <c:strCache>
                <c:ptCount val="5"/>
                <c:pt idx="0">
                  <c:v>Central</c:v>
                </c:pt>
                <c:pt idx="1">
                  <c:v>East</c:v>
                </c:pt>
                <c:pt idx="2">
                  <c:v>North</c:v>
                </c:pt>
                <c:pt idx="3">
                  <c:v>South</c:v>
                </c:pt>
                <c:pt idx="4">
                  <c:v>West</c:v>
                </c:pt>
              </c:strCache>
            </c:strRef>
          </c:cat>
          <c:val>
            <c:numRef>
              <c:f>PivotTable!$U$5:$U$10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8226-4F19-B2CC-87DF9FE121BD}"/>
            </c:ext>
          </c:extLst>
        </c:ser>
        <c:dLbls>
          <c:showLegendKey val="0"/>
          <c:showVal val="0"/>
          <c:showCatName val="0"/>
          <c:showSerName val="0"/>
          <c:showPercent val="0"/>
          <c:showBubbleSize val="0"/>
        </c:dLbls>
        <c:gapWidth val="60"/>
        <c:axId val="845480720"/>
        <c:axId val="845481200"/>
      </c:barChart>
      <c:catAx>
        <c:axId val="84548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5481200"/>
        <c:crosses val="autoZero"/>
        <c:auto val="1"/>
        <c:lblAlgn val="ctr"/>
        <c:lblOffset val="100"/>
        <c:noMultiLvlLbl val="0"/>
      </c:catAx>
      <c:valAx>
        <c:axId val="845481200"/>
        <c:scaling>
          <c:orientation val="minMax"/>
        </c:scaling>
        <c:delete val="1"/>
        <c:axPos val="b"/>
        <c:numFmt formatCode="General" sourceLinked="1"/>
        <c:majorTickMark val="none"/>
        <c:minorTickMark val="none"/>
        <c:tickLblPos val="nextTo"/>
        <c:crossAx val="84548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71438</xdr:rowOff>
    </xdr:from>
    <xdr:to>
      <xdr:col>19</xdr:col>
      <xdr:colOff>11907</xdr:colOff>
      <xdr:row>36</xdr:row>
      <xdr:rowOff>47626</xdr:rowOff>
    </xdr:to>
    <xdr:sp macro="" textlink="">
      <xdr:nvSpPr>
        <xdr:cNvPr id="2" name="Rectangle: Rounded Corners 1">
          <a:extLst>
            <a:ext uri="{FF2B5EF4-FFF2-40B4-BE49-F238E27FC236}">
              <a16:creationId xmlns:a16="http://schemas.microsoft.com/office/drawing/2014/main" id="{593D5DF0-5C0C-3D60-6EF2-A350BAE98B4A}"/>
            </a:ext>
          </a:extLst>
        </xdr:cNvPr>
        <xdr:cNvSpPr/>
      </xdr:nvSpPr>
      <xdr:spPr>
        <a:xfrm>
          <a:off x="702469" y="261938"/>
          <a:ext cx="10846594" cy="6643688"/>
        </a:xfrm>
        <a:prstGeom prst="roundRect">
          <a:avLst>
            <a:gd name="adj" fmla="val 3889"/>
          </a:avLst>
        </a:prstGeom>
        <a:gradFill flip="none" rotWithShape="1">
          <a:gsLst>
            <a:gs pos="0">
              <a:srgbClr val="1F2357"/>
            </a:gs>
            <a:gs pos="60000">
              <a:srgbClr val="101238"/>
            </a:gs>
          </a:gsLst>
          <a:lin ang="8100000" scaled="1"/>
          <a:tileRect/>
        </a:gradFill>
        <a:ln w="9525">
          <a:gradFill>
            <a:gsLst>
              <a:gs pos="0">
                <a:srgbClr val="4647A6"/>
              </a:gs>
              <a:gs pos="100000">
                <a:srgbClr val="333787"/>
              </a:gs>
            </a:gsLst>
            <a:lin ang="5400000" scaled="1"/>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264017</xdr:colOff>
      <xdr:row>2</xdr:row>
      <xdr:rowOff>46827</xdr:rowOff>
    </xdr:from>
    <xdr:to>
      <xdr:col>18</xdr:col>
      <xdr:colOff>438898</xdr:colOff>
      <xdr:row>35</xdr:row>
      <xdr:rowOff>60327</xdr:rowOff>
    </xdr:to>
    <xdr:sp macro="" textlink="">
      <xdr:nvSpPr>
        <xdr:cNvPr id="3" name="Rectangle: Rounded Corners 2">
          <a:extLst>
            <a:ext uri="{FF2B5EF4-FFF2-40B4-BE49-F238E27FC236}">
              <a16:creationId xmlns:a16="http://schemas.microsoft.com/office/drawing/2014/main" id="{0B2BCE42-D849-40A5-8798-3D4EA27D1CF3}"/>
            </a:ext>
          </a:extLst>
        </xdr:cNvPr>
        <xdr:cNvSpPr/>
      </xdr:nvSpPr>
      <xdr:spPr>
        <a:xfrm>
          <a:off x="871236" y="427827"/>
          <a:ext cx="10497600" cy="6300000"/>
        </a:xfrm>
        <a:prstGeom prst="roundRect">
          <a:avLst>
            <a:gd name="adj" fmla="val 4127"/>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433388</xdr:colOff>
      <xdr:row>21</xdr:row>
      <xdr:rowOff>28574</xdr:rowOff>
    </xdr:from>
    <xdr:to>
      <xdr:col>13</xdr:col>
      <xdr:colOff>452513</xdr:colOff>
      <xdr:row>33</xdr:row>
      <xdr:rowOff>82574</xdr:rowOff>
    </xdr:to>
    <xdr:sp macro="" textlink="">
      <xdr:nvSpPr>
        <xdr:cNvPr id="10" name="Rectangle: Rounded Corners 9">
          <a:extLst>
            <a:ext uri="{FF2B5EF4-FFF2-40B4-BE49-F238E27FC236}">
              <a16:creationId xmlns:a16="http://schemas.microsoft.com/office/drawing/2014/main" id="{20402936-C3C8-49DC-9450-46539558B813}"/>
            </a:ext>
          </a:extLst>
        </xdr:cNvPr>
        <xdr:cNvSpPr/>
      </xdr:nvSpPr>
      <xdr:spPr>
        <a:xfrm>
          <a:off x="5898357" y="4029074"/>
          <a:ext cx="2448000" cy="2340000"/>
        </a:xfrm>
        <a:prstGeom prst="roundRect">
          <a:avLst>
            <a:gd name="adj" fmla="val 5829"/>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583406</xdr:colOff>
      <xdr:row>31</xdr:row>
      <xdr:rowOff>95248</xdr:rowOff>
    </xdr:from>
    <xdr:to>
      <xdr:col>13</xdr:col>
      <xdr:colOff>365624</xdr:colOff>
      <xdr:row>32</xdr:row>
      <xdr:rowOff>152400</xdr:rowOff>
    </xdr:to>
    <xdr:sp macro="" textlink="">
      <xdr:nvSpPr>
        <xdr:cNvPr id="46" name="Rectangle: Rounded Corners 45">
          <a:extLst>
            <a:ext uri="{FF2B5EF4-FFF2-40B4-BE49-F238E27FC236}">
              <a16:creationId xmlns:a16="http://schemas.microsoft.com/office/drawing/2014/main" id="{7C1BEF22-5718-CF72-618E-3E9E1FA3171C}"/>
            </a:ext>
          </a:extLst>
        </xdr:cNvPr>
        <xdr:cNvSpPr/>
      </xdr:nvSpPr>
      <xdr:spPr>
        <a:xfrm>
          <a:off x="7262812" y="6000748"/>
          <a:ext cx="996656" cy="247652"/>
        </a:xfrm>
        <a:prstGeom prst="roundRect">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583406</xdr:colOff>
      <xdr:row>30</xdr:row>
      <xdr:rowOff>4761</xdr:rowOff>
    </xdr:from>
    <xdr:to>
      <xdr:col>13</xdr:col>
      <xdr:colOff>365624</xdr:colOff>
      <xdr:row>31</xdr:row>
      <xdr:rowOff>61913</xdr:rowOff>
    </xdr:to>
    <xdr:sp macro="" textlink="">
      <xdr:nvSpPr>
        <xdr:cNvPr id="47" name="Rectangle: Rounded Corners 46">
          <a:extLst>
            <a:ext uri="{FF2B5EF4-FFF2-40B4-BE49-F238E27FC236}">
              <a16:creationId xmlns:a16="http://schemas.microsoft.com/office/drawing/2014/main" id="{3EEFA4E1-66EF-07AD-5504-EA83F4F40B61}"/>
            </a:ext>
          </a:extLst>
        </xdr:cNvPr>
        <xdr:cNvSpPr/>
      </xdr:nvSpPr>
      <xdr:spPr>
        <a:xfrm>
          <a:off x="7262812" y="5719761"/>
          <a:ext cx="996656" cy="247652"/>
        </a:xfrm>
        <a:prstGeom prst="roundRect">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583406</xdr:colOff>
      <xdr:row>28</xdr:row>
      <xdr:rowOff>104773</xdr:rowOff>
    </xdr:from>
    <xdr:to>
      <xdr:col>13</xdr:col>
      <xdr:colOff>365624</xdr:colOff>
      <xdr:row>29</xdr:row>
      <xdr:rowOff>161925</xdr:rowOff>
    </xdr:to>
    <xdr:sp macro="" textlink="">
      <xdr:nvSpPr>
        <xdr:cNvPr id="48" name="Rectangle: Rounded Corners 47">
          <a:extLst>
            <a:ext uri="{FF2B5EF4-FFF2-40B4-BE49-F238E27FC236}">
              <a16:creationId xmlns:a16="http://schemas.microsoft.com/office/drawing/2014/main" id="{B0FC11C3-41AD-7D9C-A651-B08FE1963668}"/>
            </a:ext>
          </a:extLst>
        </xdr:cNvPr>
        <xdr:cNvSpPr/>
      </xdr:nvSpPr>
      <xdr:spPr>
        <a:xfrm>
          <a:off x="7262812" y="5438773"/>
          <a:ext cx="996656" cy="247652"/>
        </a:xfrm>
        <a:prstGeom prst="roundRect">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583406</xdr:colOff>
      <xdr:row>27</xdr:row>
      <xdr:rowOff>14285</xdr:rowOff>
    </xdr:from>
    <xdr:to>
      <xdr:col>13</xdr:col>
      <xdr:colOff>365624</xdr:colOff>
      <xdr:row>28</xdr:row>
      <xdr:rowOff>71437</xdr:rowOff>
    </xdr:to>
    <xdr:sp macro="" textlink="">
      <xdr:nvSpPr>
        <xdr:cNvPr id="49" name="Rectangle: Rounded Corners 48">
          <a:extLst>
            <a:ext uri="{FF2B5EF4-FFF2-40B4-BE49-F238E27FC236}">
              <a16:creationId xmlns:a16="http://schemas.microsoft.com/office/drawing/2014/main" id="{1D95A54E-56E4-B46F-B5DF-3A84231E558A}"/>
            </a:ext>
          </a:extLst>
        </xdr:cNvPr>
        <xdr:cNvSpPr/>
      </xdr:nvSpPr>
      <xdr:spPr>
        <a:xfrm>
          <a:off x="7262812" y="5157785"/>
          <a:ext cx="996656" cy="247652"/>
        </a:xfrm>
        <a:prstGeom prst="roundRect">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583406</xdr:colOff>
      <xdr:row>25</xdr:row>
      <xdr:rowOff>114297</xdr:rowOff>
    </xdr:from>
    <xdr:to>
      <xdr:col>13</xdr:col>
      <xdr:colOff>365624</xdr:colOff>
      <xdr:row>26</xdr:row>
      <xdr:rowOff>171449</xdr:rowOff>
    </xdr:to>
    <xdr:sp macro="" textlink="">
      <xdr:nvSpPr>
        <xdr:cNvPr id="50" name="Rectangle: Rounded Corners 49">
          <a:extLst>
            <a:ext uri="{FF2B5EF4-FFF2-40B4-BE49-F238E27FC236}">
              <a16:creationId xmlns:a16="http://schemas.microsoft.com/office/drawing/2014/main" id="{F051D425-F005-5667-55FB-0DB4044CEF3B}"/>
            </a:ext>
          </a:extLst>
        </xdr:cNvPr>
        <xdr:cNvSpPr/>
      </xdr:nvSpPr>
      <xdr:spPr>
        <a:xfrm>
          <a:off x="7262812" y="4876797"/>
          <a:ext cx="996656" cy="247652"/>
        </a:xfrm>
        <a:prstGeom prst="roundRect">
          <a:avLst/>
        </a:prstGeom>
        <a:gradFill flip="none" rotWithShape="1">
          <a:gsLst>
            <a:gs pos="0">
              <a:srgbClr val="20245A"/>
            </a:gs>
            <a:gs pos="60000">
              <a:srgbClr val="101238"/>
            </a:gs>
          </a:gsLst>
          <a:lin ang="8100000" scaled="1"/>
          <a:tileRect/>
        </a:gra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583406</xdr:colOff>
      <xdr:row>24</xdr:row>
      <xdr:rowOff>23809</xdr:rowOff>
    </xdr:from>
    <xdr:to>
      <xdr:col>13</xdr:col>
      <xdr:colOff>365624</xdr:colOff>
      <xdr:row>25</xdr:row>
      <xdr:rowOff>80961</xdr:rowOff>
    </xdr:to>
    <xdr:sp macro="" textlink="">
      <xdr:nvSpPr>
        <xdr:cNvPr id="51" name="Rectangle: Rounded Corners 50">
          <a:extLst>
            <a:ext uri="{FF2B5EF4-FFF2-40B4-BE49-F238E27FC236}">
              <a16:creationId xmlns:a16="http://schemas.microsoft.com/office/drawing/2014/main" id="{F07DE2B7-6E4C-51A2-C4FC-6D6BF9221C30}"/>
            </a:ext>
          </a:extLst>
        </xdr:cNvPr>
        <xdr:cNvSpPr/>
      </xdr:nvSpPr>
      <xdr:spPr>
        <a:xfrm>
          <a:off x="7262812" y="4595809"/>
          <a:ext cx="996656" cy="247652"/>
        </a:xfrm>
        <a:prstGeom prst="roundRect">
          <a:avLst/>
        </a:prstGeom>
        <a:solidFill>
          <a:srgbClr val="00B7D2"/>
        </a:solidFill>
        <a:ln w="9525">
          <a:gradFill>
            <a:gsLst>
              <a:gs pos="33000">
                <a:srgbClr val="3D4098"/>
              </a:gs>
              <a:gs pos="0">
                <a:srgbClr val="B9C1FF"/>
              </a:gs>
              <a:gs pos="100000">
                <a:srgbClr val="333787"/>
              </a:gs>
            </a:gsLst>
            <a:lin ang="9000000" scaled="0"/>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00B7D2"/>
            </a:solidFill>
            <a:latin typeface="+mn-lt"/>
            <a:ea typeface="+mn-ea"/>
            <a:cs typeface="+mn-cs"/>
          </a:endParaRPr>
        </a:p>
      </xdr:txBody>
    </xdr:sp>
    <xdr:clientData/>
  </xdr:twoCellAnchor>
  <xdr:twoCellAnchor>
    <xdr:from>
      <xdr:col>14</xdr:col>
      <xdr:colOff>128587</xdr:colOff>
      <xdr:row>10</xdr:row>
      <xdr:rowOff>104770</xdr:rowOff>
    </xdr:from>
    <xdr:to>
      <xdr:col>18</xdr:col>
      <xdr:colOff>241312</xdr:colOff>
      <xdr:row>19</xdr:row>
      <xdr:rowOff>46270</xdr:rowOff>
    </xdr:to>
    <xdr:sp macro="" textlink="">
      <xdr:nvSpPr>
        <xdr:cNvPr id="6" name="Rectangle: Rounded Corners 5">
          <a:extLst>
            <a:ext uri="{FF2B5EF4-FFF2-40B4-BE49-F238E27FC236}">
              <a16:creationId xmlns:a16="http://schemas.microsoft.com/office/drawing/2014/main" id="{90F41676-BBBC-4BAF-A47C-711519DE8A2F}"/>
            </a:ext>
          </a:extLst>
        </xdr:cNvPr>
        <xdr:cNvSpPr/>
      </xdr:nvSpPr>
      <xdr:spPr>
        <a:xfrm>
          <a:off x="8629650" y="2009770"/>
          <a:ext cx="2541600" cy="1656000"/>
        </a:xfrm>
        <a:prstGeom prst="roundRect">
          <a:avLst>
            <a:gd name="adj" fmla="val 8039"/>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450056</xdr:colOff>
      <xdr:row>24</xdr:row>
      <xdr:rowOff>23269</xdr:rowOff>
    </xdr:from>
    <xdr:to>
      <xdr:col>4</xdr:col>
      <xdr:colOff>536400</xdr:colOff>
      <xdr:row>33</xdr:row>
      <xdr:rowOff>108769</xdr:rowOff>
    </xdr:to>
    <xdr:sp macro="" textlink="">
      <xdr:nvSpPr>
        <xdr:cNvPr id="7" name="Rectangle: Rounded Corners 6">
          <a:extLst>
            <a:ext uri="{FF2B5EF4-FFF2-40B4-BE49-F238E27FC236}">
              <a16:creationId xmlns:a16="http://schemas.microsoft.com/office/drawing/2014/main" id="{3523534C-D6C7-4FA9-BCEA-0750BE831661}"/>
            </a:ext>
          </a:extLst>
        </xdr:cNvPr>
        <xdr:cNvSpPr/>
      </xdr:nvSpPr>
      <xdr:spPr>
        <a:xfrm>
          <a:off x="1057275" y="4595269"/>
          <a:ext cx="1908000" cy="1800000"/>
        </a:xfrm>
        <a:prstGeom prst="roundRect">
          <a:avLst>
            <a:gd name="adj" fmla="val 6084"/>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471487</xdr:colOff>
      <xdr:row>7</xdr:row>
      <xdr:rowOff>114300</xdr:rowOff>
    </xdr:from>
    <xdr:to>
      <xdr:col>4</xdr:col>
      <xdr:colOff>557831</xdr:colOff>
      <xdr:row>23</xdr:row>
      <xdr:rowOff>54300</xdr:rowOff>
    </xdr:to>
    <xdr:sp macro="" textlink="">
      <xdr:nvSpPr>
        <xdr:cNvPr id="8" name="Rectangle: Rounded Corners 7">
          <a:extLst>
            <a:ext uri="{FF2B5EF4-FFF2-40B4-BE49-F238E27FC236}">
              <a16:creationId xmlns:a16="http://schemas.microsoft.com/office/drawing/2014/main" id="{02B86DAE-6152-4127-BDED-E4B4912DD15F}"/>
            </a:ext>
          </a:extLst>
        </xdr:cNvPr>
        <xdr:cNvSpPr/>
      </xdr:nvSpPr>
      <xdr:spPr>
        <a:xfrm>
          <a:off x="1078706" y="1447800"/>
          <a:ext cx="1908000" cy="2988000"/>
        </a:xfrm>
        <a:prstGeom prst="roundRect">
          <a:avLst>
            <a:gd name="adj" fmla="val 7307"/>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21</xdr:row>
      <xdr:rowOff>42862</xdr:rowOff>
    </xdr:from>
    <xdr:to>
      <xdr:col>9</xdr:col>
      <xdr:colOff>219151</xdr:colOff>
      <xdr:row>33</xdr:row>
      <xdr:rowOff>96862</xdr:rowOff>
    </xdr:to>
    <xdr:sp macro="" textlink="">
      <xdr:nvSpPr>
        <xdr:cNvPr id="9" name="Rectangle: Rounded Corners 8">
          <a:extLst>
            <a:ext uri="{FF2B5EF4-FFF2-40B4-BE49-F238E27FC236}">
              <a16:creationId xmlns:a16="http://schemas.microsoft.com/office/drawing/2014/main" id="{CAEA1912-2B11-410B-BBD8-46AC42AAA5EC}"/>
            </a:ext>
          </a:extLst>
        </xdr:cNvPr>
        <xdr:cNvSpPr/>
      </xdr:nvSpPr>
      <xdr:spPr>
        <a:xfrm>
          <a:off x="3236120" y="4043362"/>
          <a:ext cx="2448000" cy="2340000"/>
        </a:xfrm>
        <a:prstGeom prst="roundRect">
          <a:avLst>
            <a:gd name="adj" fmla="val 5829"/>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395289</xdr:colOff>
      <xdr:row>7</xdr:row>
      <xdr:rowOff>114300</xdr:rowOff>
    </xdr:from>
    <xdr:to>
      <xdr:col>13</xdr:col>
      <xdr:colOff>414414</xdr:colOff>
      <xdr:row>19</xdr:row>
      <xdr:rowOff>168300</xdr:rowOff>
    </xdr:to>
    <xdr:sp macro="" textlink="">
      <xdr:nvSpPr>
        <xdr:cNvPr id="11" name="Rectangle: Rounded Corners 10">
          <a:extLst>
            <a:ext uri="{FF2B5EF4-FFF2-40B4-BE49-F238E27FC236}">
              <a16:creationId xmlns:a16="http://schemas.microsoft.com/office/drawing/2014/main" id="{4C7A9436-CC8C-4D0C-9DA5-BFC98AC692E1}"/>
            </a:ext>
          </a:extLst>
        </xdr:cNvPr>
        <xdr:cNvSpPr/>
      </xdr:nvSpPr>
      <xdr:spPr>
        <a:xfrm>
          <a:off x="5860258" y="1447800"/>
          <a:ext cx="2448000" cy="2340000"/>
        </a:xfrm>
        <a:prstGeom prst="roundRect">
          <a:avLst>
            <a:gd name="adj" fmla="val 5829"/>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211932</xdr:colOff>
      <xdr:row>7</xdr:row>
      <xdr:rowOff>114300</xdr:rowOff>
    </xdr:from>
    <xdr:to>
      <xdr:col>9</xdr:col>
      <xdr:colOff>231057</xdr:colOff>
      <xdr:row>13</xdr:row>
      <xdr:rowOff>11906</xdr:rowOff>
    </xdr:to>
    <xdr:sp macro="" textlink="">
      <xdr:nvSpPr>
        <xdr:cNvPr id="14" name="Rectangle: Rounded Corners 13">
          <a:extLst>
            <a:ext uri="{FF2B5EF4-FFF2-40B4-BE49-F238E27FC236}">
              <a16:creationId xmlns:a16="http://schemas.microsoft.com/office/drawing/2014/main" id="{6CAC25C2-91A1-4EAD-A228-B369DE0CBE6C}"/>
            </a:ext>
          </a:extLst>
        </xdr:cNvPr>
        <xdr:cNvSpPr/>
      </xdr:nvSpPr>
      <xdr:spPr>
        <a:xfrm>
          <a:off x="3248026" y="1447800"/>
          <a:ext cx="2448000" cy="1040606"/>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233363</xdr:colOff>
      <xdr:row>14</xdr:row>
      <xdr:rowOff>16669</xdr:rowOff>
    </xdr:from>
    <xdr:to>
      <xdr:col>7</xdr:col>
      <xdr:colOff>98926</xdr:colOff>
      <xdr:row>19</xdr:row>
      <xdr:rowOff>144169</xdr:rowOff>
    </xdr:to>
    <xdr:sp macro="" textlink="">
      <xdr:nvSpPr>
        <xdr:cNvPr id="15" name="Rectangle: Rounded Corners 14">
          <a:extLst>
            <a:ext uri="{FF2B5EF4-FFF2-40B4-BE49-F238E27FC236}">
              <a16:creationId xmlns:a16="http://schemas.microsoft.com/office/drawing/2014/main" id="{99A4B054-6092-4610-8250-69CEC2B5111D}"/>
            </a:ext>
          </a:extLst>
        </xdr:cNvPr>
        <xdr:cNvSpPr/>
      </xdr:nvSpPr>
      <xdr:spPr>
        <a:xfrm>
          <a:off x="3269457" y="2683669"/>
          <a:ext cx="1080000" cy="1080000"/>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290513</xdr:colOff>
      <xdr:row>14</xdr:row>
      <xdr:rowOff>2381</xdr:rowOff>
    </xdr:from>
    <xdr:to>
      <xdr:col>9</xdr:col>
      <xdr:colOff>156075</xdr:colOff>
      <xdr:row>19</xdr:row>
      <xdr:rowOff>129881</xdr:rowOff>
    </xdr:to>
    <xdr:sp macro="" textlink="">
      <xdr:nvSpPr>
        <xdr:cNvPr id="16" name="Rectangle: Rounded Corners 15">
          <a:extLst>
            <a:ext uri="{FF2B5EF4-FFF2-40B4-BE49-F238E27FC236}">
              <a16:creationId xmlns:a16="http://schemas.microsoft.com/office/drawing/2014/main" id="{8C51BBAC-965B-41A7-A48C-46468D4E947D}"/>
            </a:ext>
          </a:extLst>
        </xdr:cNvPr>
        <xdr:cNvSpPr/>
      </xdr:nvSpPr>
      <xdr:spPr>
        <a:xfrm>
          <a:off x="4541044" y="2669381"/>
          <a:ext cx="1080000" cy="1080000"/>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109538</xdr:colOff>
      <xdr:row>21</xdr:row>
      <xdr:rowOff>59530</xdr:rowOff>
    </xdr:from>
    <xdr:to>
      <xdr:col>18</xdr:col>
      <xdr:colOff>166687</xdr:colOff>
      <xdr:row>33</xdr:row>
      <xdr:rowOff>82573</xdr:rowOff>
    </xdr:to>
    <xdr:grpSp>
      <xdr:nvGrpSpPr>
        <xdr:cNvPr id="23" name="Group 22">
          <a:extLst>
            <a:ext uri="{FF2B5EF4-FFF2-40B4-BE49-F238E27FC236}">
              <a16:creationId xmlns:a16="http://schemas.microsoft.com/office/drawing/2014/main" id="{324EE484-03E6-77D6-1847-EC253C616224}"/>
            </a:ext>
          </a:extLst>
        </xdr:cNvPr>
        <xdr:cNvGrpSpPr/>
      </xdr:nvGrpSpPr>
      <xdr:grpSpPr>
        <a:xfrm>
          <a:off x="8610601" y="4060030"/>
          <a:ext cx="2486024" cy="2309043"/>
          <a:chOff x="8610601" y="3859690"/>
          <a:chExt cx="2486024" cy="2509384"/>
        </a:xfrm>
      </xdr:grpSpPr>
      <xdr:sp macro="" textlink="">
        <xdr:nvSpPr>
          <xdr:cNvPr id="17" name="Rectangle: Rounded Corners 16">
            <a:extLst>
              <a:ext uri="{FF2B5EF4-FFF2-40B4-BE49-F238E27FC236}">
                <a16:creationId xmlns:a16="http://schemas.microsoft.com/office/drawing/2014/main" id="{6A9C94AD-6004-4A67-AD1F-DF0EB2547403}"/>
              </a:ext>
            </a:extLst>
          </xdr:cNvPr>
          <xdr:cNvSpPr/>
        </xdr:nvSpPr>
        <xdr:spPr>
          <a:xfrm>
            <a:off x="8610601" y="5218697"/>
            <a:ext cx="1124659" cy="1150377"/>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120908B6-458B-4186-85DA-D46DB47C0238}"/>
              </a:ext>
            </a:extLst>
          </xdr:cNvPr>
          <xdr:cNvSpPr/>
        </xdr:nvSpPr>
        <xdr:spPr>
          <a:xfrm>
            <a:off x="9971966" y="5218697"/>
            <a:ext cx="1124659" cy="1150377"/>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68836298-0BE0-4D58-A5B7-7B25A34A64D8}"/>
              </a:ext>
            </a:extLst>
          </xdr:cNvPr>
          <xdr:cNvSpPr/>
        </xdr:nvSpPr>
        <xdr:spPr>
          <a:xfrm>
            <a:off x="9957087" y="3859690"/>
            <a:ext cx="1124659" cy="1150377"/>
          </a:xfrm>
          <a:prstGeom prst="roundRect">
            <a:avLst>
              <a:gd name="adj" fmla="val 9391"/>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114300</xdr:colOff>
      <xdr:row>4</xdr:row>
      <xdr:rowOff>11903</xdr:rowOff>
    </xdr:from>
    <xdr:to>
      <xdr:col>18</xdr:col>
      <xdr:colOff>227025</xdr:colOff>
      <xdr:row>9</xdr:row>
      <xdr:rowOff>142872</xdr:rowOff>
    </xdr:to>
    <xdr:sp macro="" textlink="">
      <xdr:nvSpPr>
        <xdr:cNvPr id="22" name="Rectangle: Rounded Corners 21">
          <a:extLst>
            <a:ext uri="{FF2B5EF4-FFF2-40B4-BE49-F238E27FC236}">
              <a16:creationId xmlns:a16="http://schemas.microsoft.com/office/drawing/2014/main" id="{3BCD4A9E-CD79-4356-8013-8036C8A84215}"/>
            </a:ext>
          </a:extLst>
        </xdr:cNvPr>
        <xdr:cNvSpPr/>
      </xdr:nvSpPr>
      <xdr:spPr>
        <a:xfrm>
          <a:off x="8615363" y="773903"/>
          <a:ext cx="2541600" cy="1083469"/>
        </a:xfrm>
        <a:prstGeom prst="roundRect">
          <a:avLst>
            <a:gd name="adj" fmla="val 8975"/>
          </a:avLst>
        </a:prstGeom>
        <a:gradFill>
          <a:gsLst>
            <a:gs pos="0">
              <a:srgbClr val="323687"/>
            </a:gs>
            <a:gs pos="100000">
              <a:srgbClr val="10123A"/>
            </a:gs>
          </a:gsLst>
          <a:lin ang="6600000" scaled="0"/>
        </a:gradFill>
        <a:ln w="9525">
          <a:gradFill>
            <a:gsLst>
              <a:gs pos="0">
                <a:srgbClr val="A2D8F0"/>
              </a:gs>
              <a:gs pos="35000">
                <a:srgbClr val="5D63D1"/>
              </a:gs>
              <a:gs pos="100000">
                <a:srgbClr val="2E327A"/>
              </a:gs>
            </a:gsLst>
            <a:lin ang="8100000" scaled="0"/>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250032</xdr:colOff>
      <xdr:row>21</xdr:row>
      <xdr:rowOff>95250</xdr:rowOff>
    </xdr:from>
    <xdr:ext cx="855234" cy="655179"/>
    <xdr:sp macro="" textlink="">
      <xdr:nvSpPr>
        <xdr:cNvPr id="24" name="TextBox 23">
          <a:extLst>
            <a:ext uri="{FF2B5EF4-FFF2-40B4-BE49-F238E27FC236}">
              <a16:creationId xmlns:a16="http://schemas.microsoft.com/office/drawing/2014/main" id="{21EB1466-824E-8AE9-2293-0AE84778D4CB}"/>
            </a:ext>
          </a:extLst>
        </xdr:cNvPr>
        <xdr:cNvSpPr txBox="1"/>
      </xdr:nvSpPr>
      <xdr:spPr>
        <a:xfrm>
          <a:off x="9965532" y="4095750"/>
          <a:ext cx="855234" cy="655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Part</a:t>
          </a:r>
        </a:p>
        <a:p>
          <a:r>
            <a:rPr lang="en-IN" sz="1100">
              <a:solidFill>
                <a:schemeClr val="bg1"/>
              </a:solidFill>
              <a:latin typeface="Segoe UI" panose="020B0502040204020203" pitchFamily="34" charset="0"/>
              <a:cs typeface="Segoe UI" panose="020B0502040204020203" pitchFamily="34" charset="0"/>
            </a:rPr>
            <a:t>Time</a:t>
          </a:r>
        </a:p>
        <a:p>
          <a:r>
            <a:rPr lang="en-IN" sz="1100">
              <a:solidFill>
                <a:schemeClr val="bg1"/>
              </a:solidFill>
              <a:latin typeface="Segoe UI" panose="020B0502040204020203" pitchFamily="34" charset="0"/>
              <a:cs typeface="Segoe UI" panose="020B0502040204020203" pitchFamily="34" charset="0"/>
            </a:rPr>
            <a:t>employees</a:t>
          </a:r>
        </a:p>
      </xdr:txBody>
    </xdr:sp>
    <xdr:clientData/>
  </xdr:oneCellAnchor>
  <xdr:oneCellAnchor>
    <xdr:from>
      <xdr:col>17</xdr:col>
      <xdr:colOff>188123</xdr:colOff>
      <xdr:row>23</xdr:row>
      <xdr:rowOff>176212</xdr:rowOff>
    </xdr:from>
    <xdr:ext cx="597728" cy="569900"/>
    <xdr:sp macro="" textlink="PivotTable!C13">
      <xdr:nvSpPr>
        <xdr:cNvPr id="26" name="TextBox 25">
          <a:extLst>
            <a:ext uri="{FF2B5EF4-FFF2-40B4-BE49-F238E27FC236}">
              <a16:creationId xmlns:a16="http://schemas.microsoft.com/office/drawing/2014/main" id="{60809E5F-FD56-41B9-B40C-BB4369613E43}"/>
            </a:ext>
          </a:extLst>
        </xdr:cNvPr>
        <xdr:cNvSpPr txBox="1"/>
      </xdr:nvSpPr>
      <xdr:spPr>
        <a:xfrm>
          <a:off x="10510842" y="4557712"/>
          <a:ext cx="597728"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F9AA3B9-0791-4F73-8644-3DBF05D896F8}" type="TxLink">
            <a:rPr lang="en-US" sz="2800" b="1" i="0" u="none" strike="noStrike">
              <a:solidFill>
                <a:schemeClr val="bg1"/>
              </a:solidFill>
              <a:latin typeface="Segoe UI" panose="020B0502040204020203" pitchFamily="34" charset="0"/>
              <a:cs typeface="Segoe UI" panose="020B0502040204020203" pitchFamily="34" charset="0"/>
            </a:rPr>
            <a:pPr/>
            <a:t>13</a:t>
          </a:fld>
          <a:endParaRPr lang="en-IN" sz="28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16</xdr:col>
      <xdr:colOff>271464</xdr:colOff>
      <xdr:row>27</xdr:row>
      <xdr:rowOff>188119</xdr:rowOff>
    </xdr:from>
    <xdr:ext cx="855234" cy="655179"/>
    <xdr:sp macro="" textlink="">
      <xdr:nvSpPr>
        <xdr:cNvPr id="27" name="TextBox 26">
          <a:extLst>
            <a:ext uri="{FF2B5EF4-FFF2-40B4-BE49-F238E27FC236}">
              <a16:creationId xmlns:a16="http://schemas.microsoft.com/office/drawing/2014/main" id="{9D4904E3-EB75-4951-99F8-99CEABDB304C}"/>
            </a:ext>
          </a:extLst>
        </xdr:cNvPr>
        <xdr:cNvSpPr txBox="1"/>
      </xdr:nvSpPr>
      <xdr:spPr>
        <a:xfrm>
          <a:off x="9986964" y="5331619"/>
          <a:ext cx="855234" cy="655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Full</a:t>
          </a:r>
        </a:p>
        <a:p>
          <a:r>
            <a:rPr lang="en-IN" sz="1100">
              <a:solidFill>
                <a:schemeClr val="bg1"/>
              </a:solidFill>
              <a:latin typeface="Segoe UI" panose="020B0502040204020203" pitchFamily="34" charset="0"/>
              <a:cs typeface="Segoe UI" panose="020B0502040204020203" pitchFamily="34" charset="0"/>
            </a:rPr>
            <a:t>Time</a:t>
          </a:r>
        </a:p>
        <a:p>
          <a:r>
            <a:rPr lang="en-IN" sz="1100">
              <a:solidFill>
                <a:schemeClr val="bg1"/>
              </a:solidFill>
              <a:latin typeface="Segoe UI" panose="020B0502040204020203" pitchFamily="34" charset="0"/>
              <a:cs typeface="Segoe UI" panose="020B0502040204020203" pitchFamily="34" charset="0"/>
            </a:rPr>
            <a:t>employees</a:t>
          </a:r>
        </a:p>
      </xdr:txBody>
    </xdr:sp>
    <xdr:clientData/>
  </xdr:oneCellAnchor>
  <xdr:oneCellAnchor>
    <xdr:from>
      <xdr:col>17</xdr:col>
      <xdr:colOff>209555</xdr:colOff>
      <xdr:row>30</xdr:row>
      <xdr:rowOff>90487</xdr:rowOff>
    </xdr:from>
    <xdr:ext cx="597728" cy="569900"/>
    <xdr:sp macro="" textlink="PivotTable!C12">
      <xdr:nvSpPr>
        <xdr:cNvPr id="28" name="TextBox 27">
          <a:extLst>
            <a:ext uri="{FF2B5EF4-FFF2-40B4-BE49-F238E27FC236}">
              <a16:creationId xmlns:a16="http://schemas.microsoft.com/office/drawing/2014/main" id="{ABB0BCAC-5C1F-42D2-A6FB-EF0E95354070}"/>
            </a:ext>
          </a:extLst>
        </xdr:cNvPr>
        <xdr:cNvSpPr txBox="1"/>
      </xdr:nvSpPr>
      <xdr:spPr>
        <a:xfrm>
          <a:off x="10532274" y="5805487"/>
          <a:ext cx="597728"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99853AD-8C7E-423F-9C64-93E6DE7FFB32}" type="TxLink">
            <a:rPr lang="en-US" sz="2800" b="1" i="0" u="none" strike="noStrike">
              <a:solidFill>
                <a:schemeClr val="bg1"/>
              </a:solidFill>
              <a:latin typeface="Segoe UI" panose="020B0502040204020203" pitchFamily="34" charset="0"/>
              <a:ea typeface="+mn-ea"/>
              <a:cs typeface="Segoe UI" panose="020B0502040204020203" pitchFamily="34" charset="0"/>
            </a:rPr>
            <a:pPr marL="0" indent="0"/>
            <a:t>20</a:t>
          </a:fld>
          <a:endParaRPr lang="en-IN" sz="2800" b="1" i="0" u="none" strike="noStrike">
            <a:solidFill>
              <a:schemeClr val="bg1"/>
            </a:solidFill>
            <a:latin typeface="Segoe UI" panose="020B0502040204020203" pitchFamily="34" charset="0"/>
            <a:ea typeface="+mn-ea"/>
            <a:cs typeface="Segoe UI" panose="020B0502040204020203" pitchFamily="34" charset="0"/>
          </a:endParaRPr>
        </a:p>
      </xdr:txBody>
    </xdr:sp>
    <xdr:clientData/>
  </xdr:oneCellAnchor>
  <xdr:oneCellAnchor>
    <xdr:from>
      <xdr:col>14</xdr:col>
      <xdr:colOff>150020</xdr:colOff>
      <xdr:row>28</xdr:row>
      <xdr:rowOff>19050</xdr:rowOff>
    </xdr:from>
    <xdr:ext cx="891526" cy="655179"/>
    <xdr:sp macro="" textlink="">
      <xdr:nvSpPr>
        <xdr:cNvPr id="30" name="TextBox 29">
          <a:extLst>
            <a:ext uri="{FF2B5EF4-FFF2-40B4-BE49-F238E27FC236}">
              <a16:creationId xmlns:a16="http://schemas.microsoft.com/office/drawing/2014/main" id="{2C47669F-E9F2-47DC-9DF1-BC226944767A}"/>
            </a:ext>
          </a:extLst>
        </xdr:cNvPr>
        <xdr:cNvSpPr txBox="1"/>
      </xdr:nvSpPr>
      <xdr:spPr>
        <a:xfrm>
          <a:off x="8651083" y="5353050"/>
          <a:ext cx="891526" cy="655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Employees </a:t>
          </a:r>
        </a:p>
        <a:p>
          <a:r>
            <a:rPr lang="en-IN" sz="1100">
              <a:solidFill>
                <a:schemeClr val="bg1"/>
              </a:solidFill>
              <a:latin typeface="Segoe UI" panose="020B0502040204020203" pitchFamily="34" charset="0"/>
              <a:cs typeface="Segoe UI" panose="020B0502040204020203" pitchFamily="34" charset="0"/>
            </a:rPr>
            <a:t>with</a:t>
          </a:r>
        </a:p>
        <a:p>
          <a:r>
            <a:rPr lang="en-IN" sz="1100">
              <a:solidFill>
                <a:schemeClr val="bg1"/>
              </a:solidFill>
              <a:latin typeface="Segoe UI" panose="020B0502040204020203" pitchFamily="34" charset="0"/>
              <a:cs typeface="Segoe UI" panose="020B0502040204020203" pitchFamily="34" charset="0"/>
            </a:rPr>
            <a:t>Contracts</a:t>
          </a:r>
        </a:p>
      </xdr:txBody>
    </xdr:sp>
    <xdr:clientData/>
  </xdr:oneCellAnchor>
  <xdr:oneCellAnchor>
    <xdr:from>
      <xdr:col>15</xdr:col>
      <xdr:colOff>76206</xdr:colOff>
      <xdr:row>30</xdr:row>
      <xdr:rowOff>111918</xdr:rowOff>
    </xdr:from>
    <xdr:ext cx="597728" cy="569900"/>
    <xdr:sp macro="" textlink="PivotTable!C11">
      <xdr:nvSpPr>
        <xdr:cNvPr id="31" name="TextBox 30">
          <a:extLst>
            <a:ext uri="{FF2B5EF4-FFF2-40B4-BE49-F238E27FC236}">
              <a16:creationId xmlns:a16="http://schemas.microsoft.com/office/drawing/2014/main" id="{23705372-96E7-4FAE-ACC1-B19672611F54}"/>
            </a:ext>
          </a:extLst>
        </xdr:cNvPr>
        <xdr:cNvSpPr txBox="1"/>
      </xdr:nvSpPr>
      <xdr:spPr>
        <a:xfrm>
          <a:off x="9184487" y="5826918"/>
          <a:ext cx="597728"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E89B99F-19FD-4623-A819-8EA30AEF1B2E}" type="TxLink">
            <a:rPr lang="en-US" sz="2800" b="1" i="0" u="none" strike="noStrike">
              <a:solidFill>
                <a:schemeClr val="bg1"/>
              </a:solidFill>
              <a:latin typeface="Segoe UI" panose="020B0502040204020203" pitchFamily="34" charset="0"/>
              <a:ea typeface="+mn-ea"/>
              <a:cs typeface="Segoe UI" panose="020B0502040204020203" pitchFamily="34" charset="0"/>
            </a:rPr>
            <a:pPr marL="0" indent="0"/>
            <a:t>17</a:t>
          </a:fld>
          <a:endParaRPr lang="en-IN" sz="2800" b="1" i="0" u="none" strike="noStrike">
            <a:solidFill>
              <a:schemeClr val="bg1"/>
            </a:solidFill>
            <a:latin typeface="Segoe UI" panose="020B0502040204020203" pitchFamily="34" charset="0"/>
            <a:ea typeface="+mn-ea"/>
            <a:cs typeface="Segoe UI" panose="020B0502040204020203" pitchFamily="34" charset="0"/>
          </a:endParaRPr>
        </a:p>
      </xdr:txBody>
    </xdr:sp>
    <xdr:clientData/>
  </xdr:oneCellAnchor>
  <xdr:oneCellAnchor>
    <xdr:from>
      <xdr:col>9</xdr:col>
      <xdr:colOff>521494</xdr:colOff>
      <xdr:row>24</xdr:row>
      <xdr:rowOff>21430</xdr:rowOff>
    </xdr:from>
    <xdr:ext cx="1068882" cy="279948"/>
    <xdr:sp macro="" textlink="">
      <xdr:nvSpPr>
        <xdr:cNvPr id="32" name="TextBox 31">
          <a:extLst>
            <a:ext uri="{FF2B5EF4-FFF2-40B4-BE49-F238E27FC236}">
              <a16:creationId xmlns:a16="http://schemas.microsoft.com/office/drawing/2014/main" id="{97F6C719-E4F8-4B61-A015-25E41E3FA89F}"/>
            </a:ext>
          </a:extLst>
        </xdr:cNvPr>
        <xdr:cNvSpPr txBox="1"/>
      </xdr:nvSpPr>
      <xdr:spPr>
        <a:xfrm>
          <a:off x="5986463" y="4593430"/>
          <a:ext cx="1068882"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latin typeface="Segoe UI" panose="020B0502040204020203" pitchFamily="34" charset="0"/>
              <a:cs typeface="Segoe UI" panose="020B0502040204020203" pitchFamily="34" charset="0"/>
            </a:rPr>
            <a:t>Total</a:t>
          </a:r>
          <a:r>
            <a:rPr lang="en-IN" sz="1100" b="1" baseline="0">
              <a:solidFill>
                <a:schemeClr val="bg1"/>
              </a:solidFill>
              <a:latin typeface="Segoe UI" panose="020B0502040204020203" pitchFamily="34" charset="0"/>
              <a:cs typeface="Segoe UI" panose="020B0502040204020203" pitchFamily="34" charset="0"/>
            </a:rPr>
            <a:t> Salaries</a:t>
          </a:r>
          <a:endParaRPr lang="en-IN" sz="11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9</xdr:col>
      <xdr:colOff>519113</xdr:colOff>
      <xdr:row>25</xdr:row>
      <xdr:rowOff>109536</xdr:rowOff>
    </xdr:from>
    <xdr:ext cx="800347" cy="279948"/>
    <xdr:sp macro="" textlink="">
      <xdr:nvSpPr>
        <xdr:cNvPr id="33" name="TextBox 32">
          <a:extLst>
            <a:ext uri="{FF2B5EF4-FFF2-40B4-BE49-F238E27FC236}">
              <a16:creationId xmlns:a16="http://schemas.microsoft.com/office/drawing/2014/main" id="{6F2DC8A2-9240-439E-ACCD-7D1DF3A5D796}"/>
            </a:ext>
          </a:extLst>
        </xdr:cNvPr>
        <xdr:cNvSpPr txBox="1"/>
      </xdr:nvSpPr>
      <xdr:spPr>
        <a:xfrm>
          <a:off x="5984082" y="4872036"/>
          <a:ext cx="80034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Managers</a:t>
          </a:r>
        </a:p>
      </xdr:txBody>
    </xdr:sp>
    <xdr:clientData/>
  </xdr:oneCellAnchor>
  <xdr:oneCellAnchor>
    <xdr:from>
      <xdr:col>9</xdr:col>
      <xdr:colOff>516731</xdr:colOff>
      <xdr:row>27</xdr:row>
      <xdr:rowOff>7142</xdr:rowOff>
    </xdr:from>
    <xdr:ext cx="1120115" cy="279948"/>
    <xdr:sp macro="" textlink="">
      <xdr:nvSpPr>
        <xdr:cNvPr id="34" name="TextBox 33">
          <a:extLst>
            <a:ext uri="{FF2B5EF4-FFF2-40B4-BE49-F238E27FC236}">
              <a16:creationId xmlns:a16="http://schemas.microsoft.com/office/drawing/2014/main" id="{89DF0B9A-53D9-4A4C-AA74-8CD2505131FF}"/>
            </a:ext>
          </a:extLst>
        </xdr:cNvPr>
        <xdr:cNvSpPr txBox="1"/>
      </xdr:nvSpPr>
      <xdr:spPr>
        <a:xfrm>
          <a:off x="5981700" y="5150642"/>
          <a:ext cx="112011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HR Specialistes</a:t>
          </a:r>
        </a:p>
      </xdr:txBody>
    </xdr:sp>
    <xdr:clientData/>
  </xdr:oneCellAnchor>
  <xdr:oneCellAnchor>
    <xdr:from>
      <xdr:col>9</xdr:col>
      <xdr:colOff>514350</xdr:colOff>
      <xdr:row>28</xdr:row>
      <xdr:rowOff>95248</xdr:rowOff>
    </xdr:from>
    <xdr:ext cx="881010" cy="279948"/>
    <xdr:sp macro="" textlink="">
      <xdr:nvSpPr>
        <xdr:cNvPr id="35" name="TextBox 34">
          <a:extLst>
            <a:ext uri="{FF2B5EF4-FFF2-40B4-BE49-F238E27FC236}">
              <a16:creationId xmlns:a16="http://schemas.microsoft.com/office/drawing/2014/main" id="{7EED9498-601C-4B36-8DA4-9AB824244E59}"/>
            </a:ext>
          </a:extLst>
        </xdr:cNvPr>
        <xdr:cNvSpPr txBox="1"/>
      </xdr:nvSpPr>
      <xdr:spPr>
        <a:xfrm>
          <a:off x="5979319" y="5429248"/>
          <a:ext cx="88101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Developers</a:t>
          </a:r>
        </a:p>
      </xdr:txBody>
    </xdr:sp>
    <xdr:clientData/>
  </xdr:oneCellAnchor>
  <xdr:oneCellAnchor>
    <xdr:from>
      <xdr:col>9</xdr:col>
      <xdr:colOff>500062</xdr:colOff>
      <xdr:row>29</xdr:row>
      <xdr:rowOff>183354</xdr:rowOff>
    </xdr:from>
    <xdr:ext cx="796885" cy="279948"/>
    <xdr:sp macro="" textlink="">
      <xdr:nvSpPr>
        <xdr:cNvPr id="37" name="TextBox 36">
          <a:extLst>
            <a:ext uri="{FF2B5EF4-FFF2-40B4-BE49-F238E27FC236}">
              <a16:creationId xmlns:a16="http://schemas.microsoft.com/office/drawing/2014/main" id="{8C633487-C0F7-44A4-9C81-837D89628A42}"/>
            </a:ext>
          </a:extLst>
        </xdr:cNvPr>
        <xdr:cNvSpPr txBox="1"/>
      </xdr:nvSpPr>
      <xdr:spPr>
        <a:xfrm>
          <a:off x="5965031" y="5707854"/>
          <a:ext cx="79688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Designers</a:t>
          </a:r>
        </a:p>
      </xdr:txBody>
    </xdr:sp>
    <xdr:clientData/>
  </xdr:oneCellAnchor>
  <xdr:oneCellAnchor>
    <xdr:from>
      <xdr:col>9</xdr:col>
      <xdr:colOff>521493</xdr:colOff>
      <xdr:row>31</xdr:row>
      <xdr:rowOff>80960</xdr:rowOff>
    </xdr:from>
    <xdr:ext cx="637354" cy="279948"/>
    <xdr:sp macro="" textlink="">
      <xdr:nvSpPr>
        <xdr:cNvPr id="38" name="TextBox 37">
          <a:extLst>
            <a:ext uri="{FF2B5EF4-FFF2-40B4-BE49-F238E27FC236}">
              <a16:creationId xmlns:a16="http://schemas.microsoft.com/office/drawing/2014/main" id="{0704D6DC-EE73-480B-9C6B-F1FAA79FE310}"/>
            </a:ext>
          </a:extLst>
        </xdr:cNvPr>
        <xdr:cNvSpPr txBox="1"/>
      </xdr:nvSpPr>
      <xdr:spPr>
        <a:xfrm>
          <a:off x="5986462" y="5986460"/>
          <a:ext cx="637354"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panose="020B0502040204020203" pitchFamily="34" charset="0"/>
              <a:cs typeface="Segoe UI" panose="020B0502040204020203" pitchFamily="34" charset="0"/>
            </a:rPr>
            <a:t>Analyst</a:t>
          </a:r>
        </a:p>
      </xdr:txBody>
    </xdr:sp>
    <xdr:clientData/>
  </xdr:oneCellAnchor>
  <xdr:oneCellAnchor>
    <xdr:from>
      <xdr:col>12</xdr:col>
      <xdr:colOff>17566</xdr:colOff>
      <xdr:row>23</xdr:row>
      <xdr:rowOff>185735</xdr:rowOff>
    </xdr:from>
    <xdr:ext cx="972907" cy="311496"/>
    <xdr:sp macro="" textlink="PivotTable!F18">
      <xdr:nvSpPr>
        <xdr:cNvPr id="40" name="TextBox 39">
          <a:extLst>
            <a:ext uri="{FF2B5EF4-FFF2-40B4-BE49-F238E27FC236}">
              <a16:creationId xmlns:a16="http://schemas.microsoft.com/office/drawing/2014/main" id="{37C83AFA-5DD7-470A-9C93-074D9EE45DC6}"/>
            </a:ext>
          </a:extLst>
        </xdr:cNvPr>
        <xdr:cNvSpPr txBox="1"/>
      </xdr:nvSpPr>
      <xdr:spPr>
        <a:xfrm>
          <a:off x="7304191" y="4567235"/>
          <a:ext cx="97290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3FED916-1C2B-437D-8DFC-9D7AC6A1ACB9}" type="TxLink">
            <a:rPr lang="en-US" sz="1400" b="1">
              <a:solidFill>
                <a:schemeClr val="tx1"/>
              </a:solidFill>
              <a:latin typeface="Kulim Park"/>
              <a:ea typeface="+mn-ea"/>
              <a:cs typeface="+mn-cs"/>
            </a:rPr>
            <a:pPr marL="0" indent="0" algn="ctr"/>
            <a:t> 31,04,913 </a:t>
          </a:fld>
          <a:endParaRPr lang="en-IN" sz="1400" b="1">
            <a:solidFill>
              <a:schemeClr val="tx1"/>
            </a:solidFill>
            <a:latin typeface="Kulim Park"/>
            <a:ea typeface="+mn-ea"/>
            <a:cs typeface="+mn-cs"/>
          </a:endParaRPr>
        </a:p>
      </xdr:txBody>
    </xdr:sp>
    <xdr:clientData/>
  </xdr:oneCellAnchor>
  <xdr:oneCellAnchor>
    <xdr:from>
      <xdr:col>12</xdr:col>
      <xdr:colOff>68328</xdr:colOff>
      <xdr:row>25</xdr:row>
      <xdr:rowOff>107153</xdr:rowOff>
    </xdr:from>
    <xdr:ext cx="871382" cy="311496"/>
    <xdr:sp macro="" textlink="PivotTable!F17">
      <xdr:nvSpPr>
        <xdr:cNvPr id="41" name="TextBox 40">
          <a:extLst>
            <a:ext uri="{FF2B5EF4-FFF2-40B4-BE49-F238E27FC236}">
              <a16:creationId xmlns:a16="http://schemas.microsoft.com/office/drawing/2014/main" id="{842B8091-44AE-4DE9-8644-5A3C037C0162}"/>
            </a:ext>
          </a:extLst>
        </xdr:cNvPr>
        <xdr:cNvSpPr txBox="1"/>
      </xdr:nvSpPr>
      <xdr:spPr>
        <a:xfrm>
          <a:off x="7354953" y="4869653"/>
          <a:ext cx="871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778AACA-759E-425C-BB1D-E24CBD7B228B}" type="TxLink">
            <a:rPr lang="en-US" sz="1400">
              <a:solidFill>
                <a:schemeClr val="bg1"/>
              </a:solidFill>
              <a:latin typeface="Kulim Park"/>
              <a:ea typeface="+mn-ea"/>
              <a:cs typeface="+mn-cs"/>
            </a:rPr>
            <a:pPr marL="0" indent="0" algn="ctr"/>
            <a:t> 7,31,170 </a:t>
          </a:fld>
          <a:endParaRPr lang="en-IN" sz="1400">
            <a:solidFill>
              <a:schemeClr val="bg1"/>
            </a:solidFill>
            <a:latin typeface="Kulim Park"/>
            <a:ea typeface="+mn-ea"/>
            <a:cs typeface="+mn-cs"/>
          </a:endParaRPr>
        </a:p>
      </xdr:txBody>
    </xdr:sp>
    <xdr:clientData/>
  </xdr:oneCellAnchor>
  <xdr:oneCellAnchor>
    <xdr:from>
      <xdr:col>12</xdr:col>
      <xdr:colOff>68328</xdr:colOff>
      <xdr:row>27</xdr:row>
      <xdr:rowOff>4759</xdr:rowOff>
    </xdr:from>
    <xdr:ext cx="871382" cy="311496"/>
    <xdr:sp macro="" textlink="PivotTable!F16">
      <xdr:nvSpPr>
        <xdr:cNvPr id="42" name="TextBox 41">
          <a:extLst>
            <a:ext uri="{FF2B5EF4-FFF2-40B4-BE49-F238E27FC236}">
              <a16:creationId xmlns:a16="http://schemas.microsoft.com/office/drawing/2014/main" id="{387ED4E5-699D-4666-8D7C-76581E181B66}"/>
            </a:ext>
          </a:extLst>
        </xdr:cNvPr>
        <xdr:cNvSpPr txBox="1"/>
      </xdr:nvSpPr>
      <xdr:spPr>
        <a:xfrm>
          <a:off x="7354953" y="5148259"/>
          <a:ext cx="871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4210B67-BCF6-4B46-AC2A-E25A7E3BE019}" type="TxLink">
            <a:rPr lang="en-US" sz="1400">
              <a:solidFill>
                <a:schemeClr val="bg1"/>
              </a:solidFill>
              <a:latin typeface="Kulim Park"/>
              <a:ea typeface="+mn-ea"/>
              <a:cs typeface="+mn-cs"/>
            </a:rPr>
            <a:pPr marL="0" indent="0" algn="ctr"/>
            <a:t> 9,59,266 </a:t>
          </a:fld>
          <a:endParaRPr lang="en-IN" sz="1400">
            <a:solidFill>
              <a:schemeClr val="bg1"/>
            </a:solidFill>
            <a:latin typeface="Kulim Park"/>
            <a:ea typeface="+mn-ea"/>
            <a:cs typeface="+mn-cs"/>
          </a:endParaRPr>
        </a:p>
      </xdr:txBody>
    </xdr:sp>
    <xdr:clientData/>
  </xdr:oneCellAnchor>
  <xdr:oneCellAnchor>
    <xdr:from>
      <xdr:col>12</xdr:col>
      <xdr:colOff>68328</xdr:colOff>
      <xdr:row>28</xdr:row>
      <xdr:rowOff>92865</xdr:rowOff>
    </xdr:from>
    <xdr:ext cx="871382" cy="311496"/>
    <xdr:sp macro="" textlink="PivotTable!F15">
      <xdr:nvSpPr>
        <xdr:cNvPr id="43" name="TextBox 42">
          <a:extLst>
            <a:ext uri="{FF2B5EF4-FFF2-40B4-BE49-F238E27FC236}">
              <a16:creationId xmlns:a16="http://schemas.microsoft.com/office/drawing/2014/main" id="{956F4D12-1F03-4BE3-9D65-9451BD3FC625}"/>
            </a:ext>
          </a:extLst>
        </xdr:cNvPr>
        <xdr:cNvSpPr txBox="1"/>
      </xdr:nvSpPr>
      <xdr:spPr>
        <a:xfrm>
          <a:off x="7354953" y="5426865"/>
          <a:ext cx="871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58D3BA90-2332-4E82-B71C-EE2F944C8E8F}" type="TxLink">
            <a:rPr lang="en-US" sz="1400">
              <a:solidFill>
                <a:schemeClr val="bg1"/>
              </a:solidFill>
              <a:latin typeface="Kulim Park"/>
              <a:ea typeface="+mn-ea"/>
              <a:cs typeface="+mn-cs"/>
            </a:rPr>
            <a:pPr marL="0" indent="0" algn="ctr"/>
            <a:t> 6,33,594 </a:t>
          </a:fld>
          <a:endParaRPr lang="en-IN" sz="1400">
            <a:solidFill>
              <a:schemeClr val="bg1"/>
            </a:solidFill>
            <a:latin typeface="Kulim Park"/>
            <a:ea typeface="+mn-ea"/>
            <a:cs typeface="+mn-cs"/>
          </a:endParaRPr>
        </a:p>
      </xdr:txBody>
    </xdr:sp>
    <xdr:clientData/>
  </xdr:oneCellAnchor>
  <xdr:oneCellAnchor>
    <xdr:from>
      <xdr:col>12</xdr:col>
      <xdr:colOff>68328</xdr:colOff>
      <xdr:row>29</xdr:row>
      <xdr:rowOff>180971</xdr:rowOff>
    </xdr:from>
    <xdr:ext cx="871382" cy="311496"/>
    <xdr:sp macro="" textlink="PivotTable!F14">
      <xdr:nvSpPr>
        <xdr:cNvPr id="44" name="TextBox 43">
          <a:extLst>
            <a:ext uri="{FF2B5EF4-FFF2-40B4-BE49-F238E27FC236}">
              <a16:creationId xmlns:a16="http://schemas.microsoft.com/office/drawing/2014/main" id="{AA522D01-8F52-4B29-9FE7-40D48C3F7214}"/>
            </a:ext>
          </a:extLst>
        </xdr:cNvPr>
        <xdr:cNvSpPr txBox="1"/>
      </xdr:nvSpPr>
      <xdr:spPr>
        <a:xfrm>
          <a:off x="7354953" y="5705471"/>
          <a:ext cx="871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F5EC348-42C8-4C41-BB6E-C06DFB198557}" type="TxLink">
            <a:rPr lang="en-US" sz="1400">
              <a:solidFill>
                <a:schemeClr val="bg1"/>
              </a:solidFill>
              <a:latin typeface="Kulim Park"/>
              <a:ea typeface="+mn-ea"/>
              <a:cs typeface="+mn-cs"/>
            </a:rPr>
            <a:pPr marL="0" indent="0" algn="ctr"/>
            <a:t> 6,13,842 </a:t>
          </a:fld>
          <a:endParaRPr lang="en-IN" sz="1400">
            <a:solidFill>
              <a:schemeClr val="bg1"/>
            </a:solidFill>
            <a:latin typeface="Kulim Park"/>
            <a:ea typeface="+mn-ea"/>
            <a:cs typeface="+mn-cs"/>
          </a:endParaRPr>
        </a:p>
      </xdr:txBody>
    </xdr:sp>
    <xdr:clientData/>
  </xdr:oneCellAnchor>
  <xdr:oneCellAnchor>
    <xdr:from>
      <xdr:col>12</xdr:col>
      <xdr:colOff>68328</xdr:colOff>
      <xdr:row>31</xdr:row>
      <xdr:rowOff>78577</xdr:rowOff>
    </xdr:from>
    <xdr:ext cx="871382" cy="311496"/>
    <xdr:sp macro="" textlink="PivotTable!F13">
      <xdr:nvSpPr>
        <xdr:cNvPr id="45" name="TextBox 44">
          <a:extLst>
            <a:ext uri="{FF2B5EF4-FFF2-40B4-BE49-F238E27FC236}">
              <a16:creationId xmlns:a16="http://schemas.microsoft.com/office/drawing/2014/main" id="{5A8A8000-46E9-4D45-B69C-89A77CBB3A7F}"/>
            </a:ext>
          </a:extLst>
        </xdr:cNvPr>
        <xdr:cNvSpPr txBox="1"/>
      </xdr:nvSpPr>
      <xdr:spPr>
        <a:xfrm>
          <a:off x="7354953" y="5984077"/>
          <a:ext cx="871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27C13AC-637B-457A-B44D-B28231FAA3A0}" type="TxLink">
            <a:rPr lang="en-US" sz="1400">
              <a:solidFill>
                <a:schemeClr val="bg1"/>
              </a:solidFill>
              <a:latin typeface="Kulim Park"/>
              <a:ea typeface="+mn-ea"/>
              <a:cs typeface="+mn-cs"/>
            </a:rPr>
            <a:pPr marL="0" indent="0" algn="ctr"/>
            <a:t> 1,67,041 </a:t>
          </a:fld>
          <a:endParaRPr lang="en-IN" sz="1400">
            <a:solidFill>
              <a:schemeClr val="bg1"/>
            </a:solidFill>
            <a:latin typeface="Kulim Park"/>
            <a:ea typeface="+mn-ea"/>
            <a:cs typeface="+mn-cs"/>
          </a:endParaRPr>
        </a:p>
      </xdr:txBody>
    </xdr:sp>
    <xdr:clientData/>
  </xdr:oneCellAnchor>
  <xdr:oneCellAnchor>
    <xdr:from>
      <xdr:col>9</xdr:col>
      <xdr:colOff>533400</xdr:colOff>
      <xdr:row>21</xdr:row>
      <xdr:rowOff>45244</xdr:rowOff>
    </xdr:from>
    <xdr:ext cx="828240" cy="331116"/>
    <xdr:sp macro="" textlink="">
      <xdr:nvSpPr>
        <xdr:cNvPr id="52" name="TextBox 51">
          <a:extLst>
            <a:ext uri="{FF2B5EF4-FFF2-40B4-BE49-F238E27FC236}">
              <a16:creationId xmlns:a16="http://schemas.microsoft.com/office/drawing/2014/main" id="{88162D8D-B7B6-E672-5415-609AED1ADC04}"/>
            </a:ext>
          </a:extLst>
        </xdr:cNvPr>
        <xdr:cNvSpPr txBox="1"/>
      </xdr:nvSpPr>
      <xdr:spPr>
        <a:xfrm>
          <a:off x="5998369" y="4045744"/>
          <a:ext cx="82824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baseline="0">
              <a:solidFill>
                <a:srgbClr val="00B7D2"/>
              </a:solidFill>
              <a:latin typeface="Segoe UI" panose="020B0502040204020203" pitchFamily="34" charset="0"/>
              <a:ea typeface="+mn-ea"/>
              <a:cs typeface="Segoe UI" panose="020B0502040204020203" pitchFamily="34" charset="0"/>
            </a:rPr>
            <a:t>Salaries</a:t>
          </a:r>
          <a:endParaRPr lang="en-IN" sz="1800" b="1" baseline="0">
            <a:solidFill>
              <a:srgbClr val="00B7D2"/>
            </a:solidFill>
            <a:latin typeface="Segoe UI" panose="020B0502040204020203" pitchFamily="34" charset="0"/>
            <a:ea typeface="+mn-ea"/>
            <a:cs typeface="Segoe UI" panose="020B0502040204020203" pitchFamily="34" charset="0"/>
          </a:endParaRPr>
        </a:p>
      </xdr:txBody>
    </xdr:sp>
    <xdr:clientData/>
  </xdr:oneCellAnchor>
  <xdr:oneCellAnchor>
    <xdr:from>
      <xdr:col>9</xdr:col>
      <xdr:colOff>509588</xdr:colOff>
      <xdr:row>22</xdr:row>
      <xdr:rowOff>69057</xdr:rowOff>
    </xdr:from>
    <xdr:ext cx="1726114" cy="245837"/>
    <xdr:sp macro="" textlink="">
      <xdr:nvSpPr>
        <xdr:cNvPr id="53" name="TextBox 52">
          <a:extLst>
            <a:ext uri="{FF2B5EF4-FFF2-40B4-BE49-F238E27FC236}">
              <a16:creationId xmlns:a16="http://schemas.microsoft.com/office/drawing/2014/main" id="{902EA5AE-3067-5B3B-14B4-A923BBB90F89}"/>
            </a:ext>
          </a:extLst>
        </xdr:cNvPr>
        <xdr:cNvSpPr txBox="1"/>
      </xdr:nvSpPr>
      <xdr:spPr>
        <a:xfrm>
          <a:off x="5974557" y="4260057"/>
          <a:ext cx="1726114"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baseline="0">
              <a:solidFill>
                <a:srgbClr val="B9C1FF"/>
              </a:solidFill>
              <a:latin typeface="Segoe UI" panose="020B0502040204020203" pitchFamily="34" charset="0"/>
              <a:cs typeface="Segoe UI" panose="020B0502040204020203" pitchFamily="34" charset="0"/>
            </a:rPr>
            <a:t>Salaries amount by job titles</a:t>
          </a:r>
          <a:endParaRPr lang="en-IN" sz="900" b="1">
            <a:solidFill>
              <a:srgbClr val="B9C1FF"/>
            </a:solidFill>
            <a:latin typeface="Segoe UI" panose="020B0502040204020203" pitchFamily="34" charset="0"/>
            <a:cs typeface="Segoe UI" panose="020B0502040204020203" pitchFamily="34" charset="0"/>
          </a:endParaRPr>
        </a:p>
      </xdr:txBody>
    </xdr:sp>
    <xdr:clientData/>
  </xdr:oneCellAnchor>
  <xdr:oneCellAnchor>
    <xdr:from>
      <xdr:col>14</xdr:col>
      <xdr:colOff>161926</xdr:colOff>
      <xdr:row>19</xdr:row>
      <xdr:rowOff>150018</xdr:rowOff>
    </xdr:from>
    <xdr:ext cx="2517036" cy="297004"/>
    <xdr:sp macro="" textlink="">
      <xdr:nvSpPr>
        <xdr:cNvPr id="54" name="TextBox 53">
          <a:extLst>
            <a:ext uri="{FF2B5EF4-FFF2-40B4-BE49-F238E27FC236}">
              <a16:creationId xmlns:a16="http://schemas.microsoft.com/office/drawing/2014/main" id="{CACEAD37-240F-44FF-9F53-FDBFA51C4FB2}"/>
            </a:ext>
          </a:extLst>
        </xdr:cNvPr>
        <xdr:cNvSpPr txBox="1"/>
      </xdr:nvSpPr>
      <xdr:spPr>
        <a:xfrm>
          <a:off x="8662989" y="3769518"/>
          <a:ext cx="251703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baseline="0">
              <a:solidFill>
                <a:srgbClr val="00B7D2"/>
              </a:solidFill>
              <a:latin typeface="Segoe UI" panose="020B0502040204020203" pitchFamily="34" charset="0"/>
              <a:ea typeface="+mn-ea"/>
              <a:cs typeface="Segoe UI" panose="020B0502040204020203" pitchFamily="34" charset="0"/>
            </a:rPr>
            <a:t>Employments</a:t>
          </a:r>
          <a:r>
            <a:rPr lang="en-IN" sz="1100" b="1" baseline="0">
              <a:solidFill>
                <a:schemeClr val="bg1"/>
              </a:solidFill>
              <a:latin typeface="Kulim Park"/>
            </a:rPr>
            <a:t> </a:t>
          </a:r>
          <a:r>
            <a:rPr lang="en-IN" sz="1200" b="1" baseline="0">
              <a:solidFill>
                <a:srgbClr val="00B7D2"/>
              </a:solidFill>
              <a:latin typeface="Segoe UI" panose="020B0502040204020203" pitchFamily="34" charset="0"/>
              <a:ea typeface="+mn-ea"/>
              <a:cs typeface="Segoe UI" panose="020B0502040204020203" pitchFamily="34" charset="0"/>
            </a:rPr>
            <a:t>Status</a:t>
          </a:r>
          <a:r>
            <a:rPr lang="en-IN" sz="1100" b="1" baseline="0">
              <a:solidFill>
                <a:schemeClr val="bg1"/>
              </a:solidFill>
              <a:latin typeface="Kulim Park"/>
            </a:rPr>
            <a:t> </a:t>
          </a:r>
          <a:r>
            <a:rPr lang="en-IN" sz="1200" b="1" baseline="0">
              <a:solidFill>
                <a:srgbClr val="00B7D2"/>
              </a:solidFill>
              <a:latin typeface="Segoe UI" panose="020B0502040204020203" pitchFamily="34" charset="0"/>
              <a:ea typeface="+mn-ea"/>
              <a:cs typeface="Segoe UI" panose="020B0502040204020203" pitchFamily="34" charset="0"/>
            </a:rPr>
            <a:t>BreakDown</a:t>
          </a:r>
        </a:p>
      </xdr:txBody>
    </xdr:sp>
    <xdr:clientData/>
  </xdr:oneCellAnchor>
  <xdr:twoCellAnchor>
    <xdr:from>
      <xdr:col>14</xdr:col>
      <xdr:colOff>35720</xdr:colOff>
      <xdr:row>20</xdr:row>
      <xdr:rowOff>178594</xdr:rowOff>
    </xdr:from>
    <xdr:to>
      <xdr:col>16</xdr:col>
      <xdr:colOff>154782</xdr:colOff>
      <xdr:row>27</xdr:row>
      <xdr:rowOff>83344</xdr:rowOff>
    </xdr:to>
    <xdr:graphicFrame macro="">
      <xdr:nvGraphicFramePr>
        <xdr:cNvPr id="4" name="Chart 3">
          <a:extLst>
            <a:ext uri="{FF2B5EF4-FFF2-40B4-BE49-F238E27FC236}">
              <a16:creationId xmlns:a16="http://schemas.microsoft.com/office/drawing/2014/main" id="{AA93F3F0-2814-4E5C-B510-C9960EE19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511969</xdr:colOff>
      <xdr:row>21</xdr:row>
      <xdr:rowOff>154781</xdr:rowOff>
    </xdr:from>
    <xdr:to>
      <xdr:col>18</xdr:col>
      <xdr:colOff>71438</xdr:colOff>
      <xdr:row>22</xdr:row>
      <xdr:rowOff>119062</xdr:rowOff>
    </xdr:to>
    <xdr:sp macro="" textlink="">
      <xdr:nvSpPr>
        <xdr:cNvPr id="5" name="Oval 4">
          <a:extLst>
            <a:ext uri="{FF2B5EF4-FFF2-40B4-BE49-F238E27FC236}">
              <a16:creationId xmlns:a16="http://schemas.microsoft.com/office/drawing/2014/main" id="{536A028A-AD9A-0F64-41A2-EF71FA10523F}"/>
            </a:ext>
          </a:extLst>
        </xdr:cNvPr>
        <xdr:cNvSpPr/>
      </xdr:nvSpPr>
      <xdr:spPr>
        <a:xfrm>
          <a:off x="10834688" y="4155281"/>
          <a:ext cx="166688" cy="154781"/>
        </a:xfrm>
        <a:prstGeom prst="ellipse">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485772</xdr:colOff>
      <xdr:row>28</xdr:row>
      <xdr:rowOff>57152</xdr:rowOff>
    </xdr:from>
    <xdr:to>
      <xdr:col>18</xdr:col>
      <xdr:colOff>47623</xdr:colOff>
      <xdr:row>29</xdr:row>
      <xdr:rowOff>47627</xdr:rowOff>
    </xdr:to>
    <xdr:sp macro="" textlink="">
      <xdr:nvSpPr>
        <xdr:cNvPr id="12" name="Oval 11">
          <a:extLst>
            <a:ext uri="{FF2B5EF4-FFF2-40B4-BE49-F238E27FC236}">
              <a16:creationId xmlns:a16="http://schemas.microsoft.com/office/drawing/2014/main" id="{6F8DF060-FC8D-46F6-8E7A-6C93A2FD02D7}"/>
            </a:ext>
          </a:extLst>
        </xdr:cNvPr>
        <xdr:cNvSpPr/>
      </xdr:nvSpPr>
      <xdr:spPr>
        <a:xfrm>
          <a:off x="10808491" y="5391152"/>
          <a:ext cx="169070" cy="180975"/>
        </a:xfrm>
        <a:prstGeom prst="ellipse">
          <a:avLst/>
        </a:prstGeom>
        <a:solidFill>
          <a:srgbClr val="808A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388142</xdr:colOff>
      <xdr:row>28</xdr:row>
      <xdr:rowOff>54772</xdr:rowOff>
    </xdr:from>
    <xdr:to>
      <xdr:col>15</xdr:col>
      <xdr:colOff>559594</xdr:colOff>
      <xdr:row>29</xdr:row>
      <xdr:rowOff>59534</xdr:rowOff>
    </xdr:to>
    <xdr:sp macro="" textlink="">
      <xdr:nvSpPr>
        <xdr:cNvPr id="13" name="Oval 12">
          <a:extLst>
            <a:ext uri="{FF2B5EF4-FFF2-40B4-BE49-F238E27FC236}">
              <a16:creationId xmlns:a16="http://schemas.microsoft.com/office/drawing/2014/main" id="{9684D17E-51C1-4CBE-98B6-56CAEB03657A}"/>
            </a:ext>
          </a:extLst>
        </xdr:cNvPr>
        <xdr:cNvSpPr/>
      </xdr:nvSpPr>
      <xdr:spPr>
        <a:xfrm>
          <a:off x="9496423" y="5388772"/>
          <a:ext cx="171452" cy="195262"/>
        </a:xfrm>
        <a:prstGeom prst="ellipse">
          <a:avLst/>
        </a:prstGeom>
        <a:solidFill>
          <a:srgbClr val="00B7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333375</xdr:colOff>
      <xdr:row>25</xdr:row>
      <xdr:rowOff>23812</xdr:rowOff>
    </xdr:from>
    <xdr:to>
      <xdr:col>9</xdr:col>
      <xdr:colOff>11906</xdr:colOff>
      <xdr:row>33</xdr:row>
      <xdr:rowOff>23812</xdr:rowOff>
    </xdr:to>
    <xdr:graphicFrame macro="">
      <xdr:nvGraphicFramePr>
        <xdr:cNvPr id="20" name="Chart 19">
          <a:extLst>
            <a:ext uri="{FF2B5EF4-FFF2-40B4-BE49-F238E27FC236}">
              <a16:creationId xmlns:a16="http://schemas.microsoft.com/office/drawing/2014/main" id="{CEB24128-3BCD-4E6A-AEA2-E7596CF7B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531019</xdr:colOff>
      <xdr:row>24</xdr:row>
      <xdr:rowOff>42861</xdr:rowOff>
    </xdr:from>
    <xdr:ext cx="1410899" cy="334259"/>
    <xdr:sp macro="" textlink="">
      <xdr:nvSpPr>
        <xdr:cNvPr id="21" name="TextBox 20">
          <a:extLst>
            <a:ext uri="{FF2B5EF4-FFF2-40B4-BE49-F238E27FC236}">
              <a16:creationId xmlns:a16="http://schemas.microsoft.com/office/drawing/2014/main" id="{A35C2551-077E-4A4E-999E-E64435EFA85C}"/>
            </a:ext>
          </a:extLst>
        </xdr:cNvPr>
        <xdr:cNvSpPr txBox="1"/>
      </xdr:nvSpPr>
      <xdr:spPr>
        <a:xfrm>
          <a:off x="1138238" y="4614861"/>
          <a:ext cx="1410899" cy="334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baseline="0">
              <a:solidFill>
                <a:srgbClr val="00B7D2"/>
              </a:solidFill>
              <a:latin typeface="Segoe UI" panose="020B0502040204020203" pitchFamily="34" charset="0"/>
              <a:ea typeface="+mn-ea"/>
              <a:cs typeface="Segoe UI" panose="020B0502040204020203" pitchFamily="34" charset="0"/>
            </a:rPr>
            <a:t>Work</a:t>
          </a:r>
          <a:r>
            <a:rPr lang="en-IN" sz="1400" b="1" baseline="0">
              <a:solidFill>
                <a:srgbClr val="FF00FF"/>
              </a:solidFill>
              <a:latin typeface="Kulim Park"/>
            </a:rPr>
            <a:t> </a:t>
          </a:r>
          <a:r>
            <a:rPr lang="en-IN" sz="1400" b="1" baseline="0">
              <a:solidFill>
                <a:srgbClr val="00B7D2"/>
              </a:solidFill>
              <a:latin typeface="Segoe UI" panose="020B0502040204020203" pitchFamily="34" charset="0"/>
              <a:ea typeface="+mn-ea"/>
              <a:cs typeface="Segoe UI" panose="020B0502040204020203" pitchFamily="34" charset="0"/>
            </a:rPr>
            <a:t>Location</a:t>
          </a:r>
        </a:p>
      </xdr:txBody>
    </xdr:sp>
    <xdr:clientData/>
  </xdr:oneCellAnchor>
  <xdr:oneCellAnchor>
    <xdr:from>
      <xdr:col>1</xdr:col>
      <xdr:colOff>554831</xdr:colOff>
      <xdr:row>25</xdr:row>
      <xdr:rowOff>78581</xdr:rowOff>
    </xdr:from>
    <xdr:ext cx="1576388" cy="245837"/>
    <xdr:sp macro="" textlink="">
      <xdr:nvSpPr>
        <xdr:cNvPr id="25" name="TextBox 24">
          <a:extLst>
            <a:ext uri="{FF2B5EF4-FFF2-40B4-BE49-F238E27FC236}">
              <a16:creationId xmlns:a16="http://schemas.microsoft.com/office/drawing/2014/main" id="{632AE385-E837-437A-B532-8FA1050C50A5}"/>
            </a:ext>
          </a:extLst>
        </xdr:cNvPr>
        <xdr:cNvSpPr txBox="1"/>
      </xdr:nvSpPr>
      <xdr:spPr>
        <a:xfrm>
          <a:off x="1162050" y="4841081"/>
          <a:ext cx="1576388"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b="1">
              <a:solidFill>
                <a:srgbClr val="B9C1FF"/>
              </a:solidFill>
              <a:latin typeface="Segoe UI" panose="020B0502040204020203" pitchFamily="34" charset="0"/>
              <a:cs typeface="Segoe UI" panose="020B0502040204020203" pitchFamily="34" charset="0"/>
            </a:rPr>
            <a:t>Employees to workplace</a:t>
          </a:r>
        </a:p>
      </xdr:txBody>
    </xdr:sp>
    <xdr:clientData/>
  </xdr:oneCellAnchor>
  <xdr:oneCellAnchor>
    <xdr:from>
      <xdr:col>8</xdr:col>
      <xdr:colOff>269080</xdr:colOff>
      <xdr:row>23</xdr:row>
      <xdr:rowOff>90485</xdr:rowOff>
    </xdr:from>
    <xdr:ext cx="530594" cy="264560"/>
    <xdr:sp macro="" textlink="">
      <xdr:nvSpPr>
        <xdr:cNvPr id="29" name="TextBox 28">
          <a:extLst>
            <a:ext uri="{FF2B5EF4-FFF2-40B4-BE49-F238E27FC236}">
              <a16:creationId xmlns:a16="http://schemas.microsoft.com/office/drawing/2014/main" id="{2A3EF233-F76A-427E-B463-ED544EB5B1F9}"/>
            </a:ext>
          </a:extLst>
        </xdr:cNvPr>
        <xdr:cNvSpPr txBox="1"/>
      </xdr:nvSpPr>
      <xdr:spPr>
        <a:xfrm>
          <a:off x="5126830" y="4471985"/>
          <a:ext cx="5305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Kulim Park"/>
            </a:rPr>
            <a:t>Males</a:t>
          </a:r>
        </a:p>
      </xdr:txBody>
    </xdr:sp>
    <xdr:clientData/>
  </xdr:oneCellAnchor>
  <xdr:twoCellAnchor>
    <xdr:from>
      <xdr:col>8</xdr:col>
      <xdr:colOff>226215</xdr:colOff>
      <xdr:row>23</xdr:row>
      <xdr:rowOff>166686</xdr:rowOff>
    </xdr:from>
    <xdr:to>
      <xdr:col>8</xdr:col>
      <xdr:colOff>321466</xdr:colOff>
      <xdr:row>24</xdr:row>
      <xdr:rowOff>71437</xdr:rowOff>
    </xdr:to>
    <xdr:sp macro="" textlink="">
      <xdr:nvSpPr>
        <xdr:cNvPr id="36" name="Oval 35">
          <a:extLst>
            <a:ext uri="{FF2B5EF4-FFF2-40B4-BE49-F238E27FC236}">
              <a16:creationId xmlns:a16="http://schemas.microsoft.com/office/drawing/2014/main" id="{770E6E94-1949-4AC8-B82D-A04025D9B954}"/>
            </a:ext>
          </a:extLst>
        </xdr:cNvPr>
        <xdr:cNvSpPr/>
      </xdr:nvSpPr>
      <xdr:spPr>
        <a:xfrm flipH="1" flipV="1">
          <a:off x="5083965" y="4548186"/>
          <a:ext cx="95251" cy="95251"/>
        </a:xfrm>
        <a:prstGeom prst="ellipse">
          <a:avLst/>
        </a:prstGeom>
        <a:solidFill>
          <a:srgbClr val="00B7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7D2"/>
            </a:solidFill>
          </a:endParaRPr>
        </a:p>
      </xdr:txBody>
    </xdr:sp>
    <xdr:clientData/>
  </xdr:twoCellAnchor>
  <xdr:oneCellAnchor>
    <xdr:from>
      <xdr:col>7</xdr:col>
      <xdr:colOff>278602</xdr:colOff>
      <xdr:row>23</xdr:row>
      <xdr:rowOff>76198</xdr:rowOff>
    </xdr:from>
    <xdr:ext cx="602537" cy="264560"/>
    <xdr:sp macro="" textlink="">
      <xdr:nvSpPr>
        <xdr:cNvPr id="56" name="TextBox 55">
          <a:extLst>
            <a:ext uri="{FF2B5EF4-FFF2-40B4-BE49-F238E27FC236}">
              <a16:creationId xmlns:a16="http://schemas.microsoft.com/office/drawing/2014/main" id="{46FEE368-5EE1-4E60-A0CB-7374BBF8CC6C}"/>
            </a:ext>
          </a:extLst>
        </xdr:cNvPr>
        <xdr:cNvSpPr txBox="1"/>
      </xdr:nvSpPr>
      <xdr:spPr>
        <a:xfrm>
          <a:off x="4529133" y="4457698"/>
          <a:ext cx="60253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Kulim Park"/>
            </a:rPr>
            <a:t>Female</a:t>
          </a:r>
        </a:p>
      </xdr:txBody>
    </xdr:sp>
    <xdr:clientData/>
  </xdr:oneCellAnchor>
  <xdr:twoCellAnchor>
    <xdr:from>
      <xdr:col>7</xdr:col>
      <xdr:colOff>235746</xdr:colOff>
      <xdr:row>23</xdr:row>
      <xdr:rowOff>152400</xdr:rowOff>
    </xdr:from>
    <xdr:to>
      <xdr:col>7</xdr:col>
      <xdr:colOff>333376</xdr:colOff>
      <xdr:row>24</xdr:row>
      <xdr:rowOff>59531</xdr:rowOff>
    </xdr:to>
    <xdr:sp macro="" textlink="">
      <xdr:nvSpPr>
        <xdr:cNvPr id="55" name="Oval 54">
          <a:extLst>
            <a:ext uri="{FF2B5EF4-FFF2-40B4-BE49-F238E27FC236}">
              <a16:creationId xmlns:a16="http://schemas.microsoft.com/office/drawing/2014/main" id="{8F873189-F7F5-4668-9693-B87EE333C137}"/>
            </a:ext>
          </a:extLst>
        </xdr:cNvPr>
        <xdr:cNvSpPr/>
      </xdr:nvSpPr>
      <xdr:spPr>
        <a:xfrm>
          <a:off x="4486277" y="4533900"/>
          <a:ext cx="97630" cy="97631"/>
        </a:xfrm>
        <a:prstGeom prst="ellipse">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476249</xdr:colOff>
      <xdr:row>26</xdr:row>
      <xdr:rowOff>108717</xdr:rowOff>
    </xdr:from>
    <xdr:to>
      <xdr:col>4</xdr:col>
      <xdr:colOff>511968</xdr:colOff>
      <xdr:row>29</xdr:row>
      <xdr:rowOff>144437</xdr:rowOff>
    </xdr:to>
    <xdr:graphicFrame macro="">
      <xdr:nvGraphicFramePr>
        <xdr:cNvPr id="57" name="Chart 56">
          <a:extLst>
            <a:ext uri="{FF2B5EF4-FFF2-40B4-BE49-F238E27FC236}">
              <a16:creationId xmlns:a16="http://schemas.microsoft.com/office/drawing/2014/main" id="{B66A5EEE-7E7F-462F-B4D9-7720A6F5B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476250</xdr:colOff>
      <xdr:row>29</xdr:row>
      <xdr:rowOff>3155</xdr:rowOff>
    </xdr:from>
    <xdr:to>
      <xdr:col>4</xdr:col>
      <xdr:colOff>535781</xdr:colOff>
      <xdr:row>32</xdr:row>
      <xdr:rowOff>26967</xdr:rowOff>
    </xdr:to>
    <xdr:graphicFrame macro="">
      <xdr:nvGraphicFramePr>
        <xdr:cNvPr id="58" name="Chart 57">
          <a:extLst>
            <a:ext uri="{FF2B5EF4-FFF2-40B4-BE49-F238E27FC236}">
              <a16:creationId xmlns:a16="http://schemas.microsoft.com/office/drawing/2014/main" id="{67F79919-B433-4DC0-B9AC-521F94DDA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464344</xdr:colOff>
      <xdr:row>31</xdr:row>
      <xdr:rowOff>16653</xdr:rowOff>
    </xdr:from>
    <xdr:to>
      <xdr:col>4</xdr:col>
      <xdr:colOff>452438</xdr:colOff>
      <xdr:row>34</xdr:row>
      <xdr:rowOff>35716</xdr:rowOff>
    </xdr:to>
    <xdr:graphicFrame macro="">
      <xdr:nvGraphicFramePr>
        <xdr:cNvPr id="59" name="Chart 58">
          <a:extLst>
            <a:ext uri="{FF2B5EF4-FFF2-40B4-BE49-F238E27FC236}">
              <a16:creationId xmlns:a16="http://schemas.microsoft.com/office/drawing/2014/main" id="{5EA85753-C4C7-49C8-AC5A-D40B86A5E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514351</xdr:colOff>
      <xdr:row>26</xdr:row>
      <xdr:rowOff>94702</xdr:rowOff>
    </xdr:from>
    <xdr:ext cx="941861" cy="262892"/>
    <xdr:sp macro="" textlink="">
      <xdr:nvSpPr>
        <xdr:cNvPr id="63" name="TextBox 62">
          <a:extLst>
            <a:ext uri="{FF2B5EF4-FFF2-40B4-BE49-F238E27FC236}">
              <a16:creationId xmlns:a16="http://schemas.microsoft.com/office/drawing/2014/main" id="{6509AD09-540F-43C1-8CCA-489F27392417}"/>
            </a:ext>
          </a:extLst>
        </xdr:cNvPr>
        <xdr:cNvSpPr txBox="1"/>
      </xdr:nvSpPr>
      <xdr:spPr>
        <a:xfrm>
          <a:off x="1121570" y="5047702"/>
          <a:ext cx="941861"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Branch Office</a:t>
          </a:r>
        </a:p>
      </xdr:txBody>
    </xdr:sp>
    <xdr:clientData/>
  </xdr:oneCellAnchor>
  <xdr:oneCellAnchor>
    <xdr:from>
      <xdr:col>1</xdr:col>
      <xdr:colOff>514351</xdr:colOff>
      <xdr:row>28</xdr:row>
      <xdr:rowOff>120110</xdr:rowOff>
    </xdr:from>
    <xdr:ext cx="853054" cy="262892"/>
    <xdr:sp macro="" textlink="">
      <xdr:nvSpPr>
        <xdr:cNvPr id="64" name="TextBox 63">
          <a:extLst>
            <a:ext uri="{FF2B5EF4-FFF2-40B4-BE49-F238E27FC236}">
              <a16:creationId xmlns:a16="http://schemas.microsoft.com/office/drawing/2014/main" id="{6B6E6198-84A0-4B41-ADFF-8FC40A0C11F0}"/>
            </a:ext>
          </a:extLst>
        </xdr:cNvPr>
        <xdr:cNvSpPr txBox="1"/>
      </xdr:nvSpPr>
      <xdr:spPr>
        <a:xfrm>
          <a:off x="1121570" y="5454110"/>
          <a:ext cx="853054"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Head Office</a:t>
          </a:r>
        </a:p>
      </xdr:txBody>
    </xdr:sp>
    <xdr:clientData/>
  </xdr:oneCellAnchor>
  <xdr:oneCellAnchor>
    <xdr:from>
      <xdr:col>1</xdr:col>
      <xdr:colOff>538163</xdr:colOff>
      <xdr:row>31</xdr:row>
      <xdr:rowOff>2640</xdr:rowOff>
    </xdr:from>
    <xdr:ext cx="624595" cy="262892"/>
    <xdr:sp macro="" textlink="">
      <xdr:nvSpPr>
        <xdr:cNvPr id="65" name="TextBox 64">
          <a:extLst>
            <a:ext uri="{FF2B5EF4-FFF2-40B4-BE49-F238E27FC236}">
              <a16:creationId xmlns:a16="http://schemas.microsoft.com/office/drawing/2014/main" id="{5BFACA4B-77CA-45D8-9B74-66AF81EFAE9D}"/>
            </a:ext>
          </a:extLst>
        </xdr:cNvPr>
        <xdr:cNvSpPr txBox="1"/>
      </xdr:nvSpPr>
      <xdr:spPr>
        <a:xfrm>
          <a:off x="1145382" y="5908140"/>
          <a:ext cx="624595"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Remote</a:t>
          </a:r>
        </a:p>
      </xdr:txBody>
    </xdr:sp>
    <xdr:clientData/>
  </xdr:oneCellAnchor>
  <xdr:oneCellAnchor>
    <xdr:from>
      <xdr:col>3</xdr:col>
      <xdr:colOff>583408</xdr:colOff>
      <xdr:row>27</xdr:row>
      <xdr:rowOff>32792</xdr:rowOff>
    </xdr:from>
    <xdr:ext cx="433773" cy="266420"/>
    <xdr:sp macro="" textlink="PivotTable!N17">
      <xdr:nvSpPr>
        <xdr:cNvPr id="66" name="TextBox 65">
          <a:extLst>
            <a:ext uri="{FF2B5EF4-FFF2-40B4-BE49-F238E27FC236}">
              <a16:creationId xmlns:a16="http://schemas.microsoft.com/office/drawing/2014/main" id="{BAA5B21F-6D8A-4DA9-9521-FD8B600B60F3}"/>
            </a:ext>
          </a:extLst>
        </xdr:cNvPr>
        <xdr:cNvSpPr txBox="1"/>
      </xdr:nvSpPr>
      <xdr:spPr>
        <a:xfrm>
          <a:off x="2405064" y="5176292"/>
          <a:ext cx="433773" cy="266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F2CB465-B5CC-4FFD-9C6F-9D75FA42ABDF}" type="TxLink">
            <a:rPr lang="en-US" sz="1100" b="1" i="0" u="none" strike="noStrike">
              <a:solidFill>
                <a:schemeClr val="bg1"/>
              </a:solidFill>
              <a:latin typeface="Aptos Narrow"/>
            </a:rPr>
            <a:pPr/>
            <a:t>46%</a:t>
          </a:fld>
          <a:endParaRPr lang="en-IN" sz="1100">
            <a:solidFill>
              <a:schemeClr val="bg1"/>
            </a:solidFill>
            <a:latin typeface="Kulim Park"/>
          </a:endParaRPr>
        </a:p>
      </xdr:txBody>
    </xdr:sp>
    <xdr:clientData/>
  </xdr:oneCellAnchor>
  <xdr:oneCellAnchor>
    <xdr:from>
      <xdr:col>3</xdr:col>
      <xdr:colOff>571502</xdr:colOff>
      <xdr:row>29</xdr:row>
      <xdr:rowOff>165353</xdr:rowOff>
    </xdr:from>
    <xdr:ext cx="433773" cy="266420"/>
    <xdr:sp macro="" textlink="PivotTable!N18">
      <xdr:nvSpPr>
        <xdr:cNvPr id="67" name="TextBox 66">
          <a:extLst>
            <a:ext uri="{FF2B5EF4-FFF2-40B4-BE49-F238E27FC236}">
              <a16:creationId xmlns:a16="http://schemas.microsoft.com/office/drawing/2014/main" id="{C01502FD-CD0F-44F5-83C8-4B472E89AB8A}"/>
            </a:ext>
          </a:extLst>
        </xdr:cNvPr>
        <xdr:cNvSpPr txBox="1"/>
      </xdr:nvSpPr>
      <xdr:spPr>
        <a:xfrm>
          <a:off x="2393158" y="5689853"/>
          <a:ext cx="433773" cy="266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D3210C-D10B-480A-B15E-F0B9EA3FCD69}" type="TxLink">
            <a:rPr lang="en-US" sz="1100" b="1" i="0" u="none" strike="noStrike">
              <a:solidFill>
                <a:schemeClr val="bg1"/>
              </a:solidFill>
              <a:latin typeface="Aptos Narrow"/>
            </a:rPr>
            <a:pPr/>
            <a:t>16%</a:t>
          </a:fld>
          <a:endParaRPr lang="en-IN" sz="1100">
            <a:solidFill>
              <a:schemeClr val="bg1"/>
            </a:solidFill>
            <a:latin typeface="Kulim Park"/>
          </a:endParaRPr>
        </a:p>
      </xdr:txBody>
    </xdr:sp>
    <xdr:clientData/>
  </xdr:oneCellAnchor>
  <xdr:oneCellAnchor>
    <xdr:from>
      <xdr:col>3</xdr:col>
      <xdr:colOff>571501</xdr:colOff>
      <xdr:row>31</xdr:row>
      <xdr:rowOff>178853</xdr:rowOff>
    </xdr:from>
    <xdr:ext cx="433773" cy="266420"/>
    <xdr:sp macro="" textlink="PivotTable!N19">
      <xdr:nvSpPr>
        <xdr:cNvPr id="68" name="TextBox 67">
          <a:extLst>
            <a:ext uri="{FF2B5EF4-FFF2-40B4-BE49-F238E27FC236}">
              <a16:creationId xmlns:a16="http://schemas.microsoft.com/office/drawing/2014/main" id="{F2529D6C-DD17-4BA8-B311-EFD6F285CDFD}"/>
            </a:ext>
          </a:extLst>
        </xdr:cNvPr>
        <xdr:cNvSpPr txBox="1"/>
      </xdr:nvSpPr>
      <xdr:spPr>
        <a:xfrm>
          <a:off x="2393157" y="6084353"/>
          <a:ext cx="433773" cy="266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428D3CF-F871-45E6-A04A-EED68739E4FB}" type="TxLink">
            <a:rPr lang="en-US" sz="1100" b="1" i="0" u="none" strike="noStrike">
              <a:solidFill>
                <a:schemeClr val="bg1"/>
              </a:solidFill>
              <a:latin typeface="Aptos Narrow"/>
            </a:rPr>
            <a:pPr/>
            <a:t>38%</a:t>
          </a:fld>
          <a:endParaRPr lang="en-IN" sz="1100">
            <a:solidFill>
              <a:schemeClr val="bg1"/>
            </a:solidFill>
            <a:latin typeface="Kulim Park"/>
          </a:endParaRPr>
        </a:p>
      </xdr:txBody>
    </xdr:sp>
    <xdr:clientData/>
  </xdr:oneCellAnchor>
  <xdr:oneCellAnchor>
    <xdr:from>
      <xdr:col>5</xdr:col>
      <xdr:colOff>361951</xdr:colOff>
      <xdr:row>21</xdr:row>
      <xdr:rowOff>52388</xdr:rowOff>
    </xdr:from>
    <xdr:ext cx="1090620" cy="334259"/>
    <xdr:sp macro="" textlink="">
      <xdr:nvSpPr>
        <xdr:cNvPr id="71" name="TextBox 70">
          <a:extLst>
            <a:ext uri="{FF2B5EF4-FFF2-40B4-BE49-F238E27FC236}">
              <a16:creationId xmlns:a16="http://schemas.microsoft.com/office/drawing/2014/main" id="{D997202A-77C3-40F4-854F-DEB4744C562D}"/>
            </a:ext>
          </a:extLst>
        </xdr:cNvPr>
        <xdr:cNvSpPr txBox="1"/>
      </xdr:nvSpPr>
      <xdr:spPr>
        <a:xfrm>
          <a:off x="3398045" y="4052888"/>
          <a:ext cx="1090620" cy="334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baseline="0">
              <a:solidFill>
                <a:srgbClr val="00B7D2"/>
              </a:solidFill>
              <a:latin typeface="Segoe UI" panose="020B0502040204020203" pitchFamily="34" charset="0"/>
              <a:ea typeface="+mn-ea"/>
              <a:cs typeface="Segoe UI" panose="020B0502040204020203" pitchFamily="34" charset="0"/>
            </a:rPr>
            <a:t>Age</a:t>
          </a:r>
          <a:r>
            <a:rPr lang="en-IN" sz="1400" b="1" baseline="0">
              <a:solidFill>
                <a:srgbClr val="00B7D2"/>
              </a:solidFill>
              <a:latin typeface="Kulim Park"/>
              <a:ea typeface="+mn-ea"/>
              <a:cs typeface="+mn-cs"/>
            </a:rPr>
            <a:t> </a:t>
          </a:r>
          <a:r>
            <a:rPr lang="en-IN" sz="1400" b="1" baseline="0">
              <a:solidFill>
                <a:srgbClr val="00B7D2"/>
              </a:solidFill>
              <a:latin typeface="Segoe UI" panose="020B0502040204020203" pitchFamily="34" charset="0"/>
              <a:ea typeface="+mn-ea"/>
              <a:cs typeface="Segoe UI" panose="020B0502040204020203" pitchFamily="34" charset="0"/>
            </a:rPr>
            <a:t>Range</a:t>
          </a:r>
        </a:p>
      </xdr:txBody>
    </xdr:sp>
    <xdr:clientData/>
  </xdr:oneCellAnchor>
  <xdr:oneCellAnchor>
    <xdr:from>
      <xdr:col>5</xdr:col>
      <xdr:colOff>314324</xdr:colOff>
      <xdr:row>22</xdr:row>
      <xdr:rowOff>88107</xdr:rowOff>
    </xdr:from>
    <xdr:ext cx="2007393" cy="411955"/>
    <xdr:sp macro="" textlink="">
      <xdr:nvSpPr>
        <xdr:cNvPr id="72" name="TextBox 71">
          <a:extLst>
            <a:ext uri="{FF2B5EF4-FFF2-40B4-BE49-F238E27FC236}">
              <a16:creationId xmlns:a16="http://schemas.microsoft.com/office/drawing/2014/main" id="{AECB2B44-349B-43C3-B4E2-5BB28BD3FA49}"/>
            </a:ext>
          </a:extLst>
        </xdr:cNvPr>
        <xdr:cNvSpPr txBox="1"/>
      </xdr:nvSpPr>
      <xdr:spPr>
        <a:xfrm>
          <a:off x="3350418" y="4279107"/>
          <a:ext cx="2007393" cy="4119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baseline="0">
              <a:solidFill>
                <a:srgbClr val="B9C1FF"/>
              </a:solidFill>
              <a:latin typeface="Segoe UI" panose="020B0502040204020203" pitchFamily="34" charset="0"/>
              <a:cs typeface="Segoe UI" panose="020B0502040204020203" pitchFamily="34" charset="0"/>
            </a:rPr>
            <a:t>No of employees according to age</a:t>
          </a:r>
        </a:p>
        <a:p>
          <a:r>
            <a:rPr lang="en-IN" sz="900" b="1" baseline="0">
              <a:solidFill>
                <a:srgbClr val="B9C1FF"/>
              </a:solidFill>
              <a:latin typeface="Segoe UI" panose="020B0502040204020203" pitchFamily="34" charset="0"/>
              <a:cs typeface="Segoe UI" panose="020B0502040204020203" pitchFamily="34" charset="0"/>
            </a:rPr>
            <a:t>range and genders</a:t>
          </a:r>
          <a:endParaRPr lang="en-IN" sz="900" b="1">
            <a:solidFill>
              <a:srgbClr val="B9C1FF"/>
            </a:solidFill>
            <a:latin typeface="Segoe UI" panose="020B0502040204020203" pitchFamily="34" charset="0"/>
            <a:cs typeface="Segoe UI" panose="020B0502040204020203" pitchFamily="34" charset="0"/>
          </a:endParaRPr>
        </a:p>
      </xdr:txBody>
    </xdr:sp>
    <xdr:clientData/>
  </xdr:oneCellAnchor>
  <xdr:oneCellAnchor>
    <xdr:from>
      <xdr:col>1</xdr:col>
      <xdr:colOff>504825</xdr:colOff>
      <xdr:row>15</xdr:row>
      <xdr:rowOff>43982</xdr:rowOff>
    </xdr:from>
    <xdr:ext cx="1172885" cy="279948"/>
    <xdr:sp macro="" textlink="">
      <xdr:nvSpPr>
        <xdr:cNvPr id="60" name="TextBox 59">
          <a:extLst>
            <a:ext uri="{FF2B5EF4-FFF2-40B4-BE49-F238E27FC236}">
              <a16:creationId xmlns:a16="http://schemas.microsoft.com/office/drawing/2014/main" id="{DDA9DAA4-8467-4869-9AC3-C4A0F0EE3F73}"/>
            </a:ext>
          </a:extLst>
        </xdr:cNvPr>
        <xdr:cNvSpPr txBox="1"/>
      </xdr:nvSpPr>
      <xdr:spPr>
        <a:xfrm>
          <a:off x="1112044" y="2901482"/>
          <a:ext cx="117288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100">
              <a:solidFill>
                <a:schemeClr val="bg1"/>
              </a:solidFill>
              <a:latin typeface="Segoe UI" panose="020B0502040204020203" pitchFamily="34" charset="0"/>
              <a:cs typeface="Segoe UI" panose="020B0502040204020203" pitchFamily="34" charset="0"/>
            </a:rPr>
            <a:t>Communication</a:t>
          </a:r>
          <a:endParaRPr lang="en-IN" sz="10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xdr:col>
      <xdr:colOff>509587</xdr:colOff>
      <xdr:row>16</xdr:row>
      <xdr:rowOff>132088</xdr:rowOff>
    </xdr:from>
    <xdr:ext cx="614271" cy="279948"/>
    <xdr:sp macro="" textlink="">
      <xdr:nvSpPr>
        <xdr:cNvPr id="61" name="TextBox 60">
          <a:extLst>
            <a:ext uri="{FF2B5EF4-FFF2-40B4-BE49-F238E27FC236}">
              <a16:creationId xmlns:a16="http://schemas.microsoft.com/office/drawing/2014/main" id="{1EB9865B-AB4E-47B5-BD1D-00FC6A88B17E}"/>
            </a:ext>
          </a:extLst>
        </xdr:cNvPr>
        <xdr:cNvSpPr txBox="1"/>
      </xdr:nvSpPr>
      <xdr:spPr>
        <a:xfrm>
          <a:off x="1116806" y="3180088"/>
          <a:ext cx="61427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100">
              <a:solidFill>
                <a:schemeClr val="bg1"/>
              </a:solidFill>
              <a:latin typeface="Segoe UI" panose="020B0502040204020203" pitchFamily="34" charset="0"/>
              <a:cs typeface="Segoe UI" panose="020B0502040204020203" pitchFamily="34" charset="0"/>
            </a:rPr>
            <a:t>Design</a:t>
          </a:r>
          <a:endParaRPr lang="en-IN" sz="10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xdr:col>
      <xdr:colOff>509587</xdr:colOff>
      <xdr:row>18</xdr:row>
      <xdr:rowOff>29694</xdr:rowOff>
    </xdr:from>
    <xdr:ext cx="493853" cy="279948"/>
    <xdr:sp macro="" textlink="">
      <xdr:nvSpPr>
        <xdr:cNvPr id="62" name="TextBox 61">
          <a:extLst>
            <a:ext uri="{FF2B5EF4-FFF2-40B4-BE49-F238E27FC236}">
              <a16:creationId xmlns:a16="http://schemas.microsoft.com/office/drawing/2014/main" id="{35B3334E-D565-42D0-A097-8D1DDF5AB3D1}"/>
            </a:ext>
          </a:extLst>
        </xdr:cNvPr>
        <xdr:cNvSpPr txBox="1"/>
      </xdr:nvSpPr>
      <xdr:spPr>
        <a:xfrm>
          <a:off x="1116806" y="3458694"/>
          <a:ext cx="493853"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100">
              <a:solidFill>
                <a:schemeClr val="bg1"/>
              </a:solidFill>
              <a:latin typeface="Segoe UI" panose="020B0502040204020203" pitchFamily="34" charset="0"/>
              <a:cs typeface="Segoe UI" panose="020B0502040204020203" pitchFamily="34" charset="0"/>
            </a:rPr>
            <a:t>Excel</a:t>
          </a:r>
          <a:endParaRPr lang="en-IN" sz="10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xdr:col>
      <xdr:colOff>509587</xdr:colOff>
      <xdr:row>19</xdr:row>
      <xdr:rowOff>117800</xdr:rowOff>
    </xdr:from>
    <xdr:ext cx="1014380" cy="279948"/>
    <xdr:sp macro="" textlink="">
      <xdr:nvSpPr>
        <xdr:cNvPr id="69" name="TextBox 68">
          <a:extLst>
            <a:ext uri="{FF2B5EF4-FFF2-40B4-BE49-F238E27FC236}">
              <a16:creationId xmlns:a16="http://schemas.microsoft.com/office/drawing/2014/main" id="{3964717B-D34D-49F7-B1B6-1D5446BCEF45}"/>
            </a:ext>
          </a:extLst>
        </xdr:cNvPr>
        <xdr:cNvSpPr txBox="1"/>
      </xdr:nvSpPr>
      <xdr:spPr>
        <a:xfrm>
          <a:off x="1116806" y="3737300"/>
          <a:ext cx="101438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100">
              <a:solidFill>
                <a:schemeClr val="bg1"/>
              </a:solidFill>
              <a:latin typeface="Segoe UI" panose="020B0502040204020203" pitchFamily="34" charset="0"/>
              <a:cs typeface="Segoe UI" panose="020B0502040204020203" pitchFamily="34" charset="0"/>
            </a:rPr>
            <a:t>Management</a:t>
          </a:r>
          <a:endParaRPr lang="en-IN" sz="10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xdr:col>
      <xdr:colOff>509587</xdr:colOff>
      <xdr:row>21</xdr:row>
      <xdr:rowOff>19349</xdr:rowOff>
    </xdr:from>
    <xdr:ext cx="622093" cy="279948"/>
    <xdr:sp macro="" textlink="">
      <xdr:nvSpPr>
        <xdr:cNvPr id="70" name="TextBox 69">
          <a:extLst>
            <a:ext uri="{FF2B5EF4-FFF2-40B4-BE49-F238E27FC236}">
              <a16:creationId xmlns:a16="http://schemas.microsoft.com/office/drawing/2014/main" id="{4AB70BEC-1C20-459F-9809-1688B0FE1D47}"/>
            </a:ext>
          </a:extLst>
        </xdr:cNvPr>
        <xdr:cNvSpPr txBox="1"/>
      </xdr:nvSpPr>
      <xdr:spPr>
        <a:xfrm>
          <a:off x="1116806" y="4019849"/>
          <a:ext cx="622093"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100">
              <a:solidFill>
                <a:schemeClr val="bg1"/>
              </a:solidFill>
              <a:latin typeface="Segoe UI" panose="020B0502040204020203" pitchFamily="34" charset="0"/>
              <a:cs typeface="Segoe UI" panose="020B0502040204020203" pitchFamily="34" charset="0"/>
            </a:rPr>
            <a:t>Python</a:t>
          </a:r>
          <a:endParaRPr lang="en-IN" sz="10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4</xdr:col>
      <xdr:colOff>135875</xdr:colOff>
      <xdr:row>14</xdr:row>
      <xdr:rowOff>182706</xdr:rowOff>
    </xdr:from>
    <xdr:ext cx="391261" cy="331116"/>
    <xdr:sp macro="" textlink="PivotTable!R13">
      <xdr:nvSpPr>
        <xdr:cNvPr id="73" name="TextBox 72">
          <a:extLst>
            <a:ext uri="{FF2B5EF4-FFF2-40B4-BE49-F238E27FC236}">
              <a16:creationId xmlns:a16="http://schemas.microsoft.com/office/drawing/2014/main" id="{2001B080-543D-4BCD-A754-6DABFCE2DC2E}"/>
            </a:ext>
          </a:extLst>
        </xdr:cNvPr>
        <xdr:cNvSpPr txBox="1"/>
      </xdr:nvSpPr>
      <xdr:spPr>
        <a:xfrm>
          <a:off x="2564750" y="2849706"/>
          <a:ext cx="39126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r"/>
          <a:fld id="{78BC7869-12DA-402F-91B1-857C86FEDE11}" type="TxLink">
            <a:rPr lang="en-US" sz="1400" b="1" i="0" u="none" strike="noStrike">
              <a:solidFill>
                <a:srgbClr val="00B7D2"/>
              </a:solidFill>
              <a:latin typeface="Segoe UI" panose="020B0502040204020203" pitchFamily="34" charset="0"/>
              <a:cs typeface="Segoe UI" panose="020B0502040204020203" pitchFamily="34" charset="0"/>
            </a:rPr>
            <a:pPr algn="r"/>
            <a:t>12</a:t>
          </a:fld>
          <a:endParaRPr lang="en-IN" sz="11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4</xdr:col>
      <xdr:colOff>135875</xdr:colOff>
      <xdr:row>16</xdr:row>
      <xdr:rowOff>80312</xdr:rowOff>
    </xdr:from>
    <xdr:ext cx="391261" cy="331116"/>
    <xdr:sp macro="" textlink="PivotTable!R14">
      <xdr:nvSpPr>
        <xdr:cNvPr id="74" name="TextBox 73">
          <a:extLst>
            <a:ext uri="{FF2B5EF4-FFF2-40B4-BE49-F238E27FC236}">
              <a16:creationId xmlns:a16="http://schemas.microsoft.com/office/drawing/2014/main" id="{9627B3AB-E8B4-4F19-8AB6-5B8041E2D323}"/>
            </a:ext>
          </a:extLst>
        </xdr:cNvPr>
        <xdr:cNvSpPr txBox="1"/>
      </xdr:nvSpPr>
      <xdr:spPr>
        <a:xfrm>
          <a:off x="2564750" y="3128312"/>
          <a:ext cx="39126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r"/>
          <a:fld id="{2916CB35-0BC2-488D-B236-684AF132AA4B}" type="TxLink">
            <a:rPr lang="en-US" sz="1400" b="1" i="0" u="none" strike="noStrike">
              <a:solidFill>
                <a:srgbClr val="00B7D2"/>
              </a:solidFill>
              <a:latin typeface="Segoe UI" panose="020B0502040204020203" pitchFamily="34" charset="0"/>
              <a:ea typeface="+mn-ea"/>
              <a:cs typeface="Segoe UI" panose="020B0502040204020203" pitchFamily="34" charset="0"/>
            </a:rPr>
            <a:pPr marL="0" indent="0" algn="r"/>
            <a:t>11</a:t>
          </a:fld>
          <a:endParaRPr lang="en-IN" sz="1400" b="1" i="0" u="none" strike="noStrike">
            <a:solidFill>
              <a:srgbClr val="00B7D2"/>
            </a:solidFill>
            <a:latin typeface="Segoe UI" panose="020B0502040204020203" pitchFamily="34" charset="0"/>
            <a:ea typeface="+mn-ea"/>
            <a:cs typeface="Segoe UI" panose="020B0502040204020203" pitchFamily="34" charset="0"/>
          </a:endParaRPr>
        </a:p>
      </xdr:txBody>
    </xdr:sp>
    <xdr:clientData/>
  </xdr:oneCellAnchor>
  <xdr:oneCellAnchor>
    <xdr:from>
      <xdr:col>4</xdr:col>
      <xdr:colOff>239172</xdr:colOff>
      <xdr:row>17</xdr:row>
      <xdr:rowOff>168418</xdr:rowOff>
    </xdr:from>
    <xdr:ext cx="287964" cy="331116"/>
    <xdr:sp macro="" textlink="PivotTable!R15">
      <xdr:nvSpPr>
        <xdr:cNvPr id="75" name="TextBox 74">
          <a:extLst>
            <a:ext uri="{FF2B5EF4-FFF2-40B4-BE49-F238E27FC236}">
              <a16:creationId xmlns:a16="http://schemas.microsoft.com/office/drawing/2014/main" id="{F92674EB-7C90-447A-BDDE-30E5860C34A0}"/>
            </a:ext>
          </a:extLst>
        </xdr:cNvPr>
        <xdr:cNvSpPr txBox="1"/>
      </xdr:nvSpPr>
      <xdr:spPr>
        <a:xfrm>
          <a:off x="2668047" y="3406918"/>
          <a:ext cx="28796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r"/>
          <a:fld id="{19F161EF-70B3-4F98-9F8C-9AF9F0E7A656}" type="TxLink">
            <a:rPr lang="en-US" sz="1400" b="1" i="0" u="none" strike="noStrike">
              <a:solidFill>
                <a:srgbClr val="00B7D2"/>
              </a:solidFill>
              <a:latin typeface="Segoe UI" panose="020B0502040204020203" pitchFamily="34" charset="0"/>
              <a:ea typeface="+mn-ea"/>
              <a:cs typeface="Segoe UI" panose="020B0502040204020203" pitchFamily="34" charset="0"/>
            </a:rPr>
            <a:pPr marL="0" indent="0" algn="r"/>
            <a:t>7</a:t>
          </a:fld>
          <a:endParaRPr lang="en-IN" sz="1400" b="1" i="0" u="none" strike="noStrike">
            <a:solidFill>
              <a:srgbClr val="00B7D2"/>
            </a:solidFill>
            <a:latin typeface="Segoe UI" panose="020B0502040204020203" pitchFamily="34" charset="0"/>
            <a:ea typeface="+mn-ea"/>
            <a:cs typeface="Segoe UI" panose="020B0502040204020203" pitchFamily="34" charset="0"/>
          </a:endParaRPr>
        </a:p>
      </xdr:txBody>
    </xdr:sp>
    <xdr:clientData/>
  </xdr:oneCellAnchor>
  <xdr:oneCellAnchor>
    <xdr:from>
      <xdr:col>4</xdr:col>
      <xdr:colOff>135875</xdr:colOff>
      <xdr:row>19</xdr:row>
      <xdr:rowOff>66024</xdr:rowOff>
    </xdr:from>
    <xdr:ext cx="391261" cy="331116"/>
    <xdr:sp macro="" textlink="PivotTable!R16">
      <xdr:nvSpPr>
        <xdr:cNvPr id="76" name="TextBox 75">
          <a:extLst>
            <a:ext uri="{FF2B5EF4-FFF2-40B4-BE49-F238E27FC236}">
              <a16:creationId xmlns:a16="http://schemas.microsoft.com/office/drawing/2014/main" id="{8B020CB4-B2B2-4C46-BDDE-D968481E32E5}"/>
            </a:ext>
          </a:extLst>
        </xdr:cNvPr>
        <xdr:cNvSpPr txBox="1"/>
      </xdr:nvSpPr>
      <xdr:spPr>
        <a:xfrm>
          <a:off x="2564750" y="3685524"/>
          <a:ext cx="39126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r"/>
          <a:fld id="{2B9585E5-616A-44CD-8086-E187A5395E53}" type="TxLink">
            <a:rPr lang="en-US" sz="1400" b="1" i="0" u="none" strike="noStrike">
              <a:solidFill>
                <a:srgbClr val="00B7D2"/>
              </a:solidFill>
              <a:latin typeface="Segoe UI" panose="020B0502040204020203" pitchFamily="34" charset="0"/>
              <a:ea typeface="+mn-ea"/>
              <a:cs typeface="Segoe UI" panose="020B0502040204020203" pitchFamily="34" charset="0"/>
            </a:rPr>
            <a:pPr marL="0" indent="0" algn="r"/>
            <a:t>11</a:t>
          </a:fld>
          <a:endParaRPr lang="en-IN" sz="1400" b="1" i="0" u="none" strike="noStrike">
            <a:solidFill>
              <a:srgbClr val="00B7D2"/>
            </a:solidFill>
            <a:latin typeface="Segoe UI" panose="020B0502040204020203" pitchFamily="34" charset="0"/>
            <a:ea typeface="+mn-ea"/>
            <a:cs typeface="Segoe UI" panose="020B0502040204020203" pitchFamily="34" charset="0"/>
          </a:endParaRPr>
        </a:p>
      </xdr:txBody>
    </xdr:sp>
    <xdr:clientData/>
  </xdr:oneCellAnchor>
  <xdr:oneCellAnchor>
    <xdr:from>
      <xdr:col>4</xdr:col>
      <xdr:colOff>239172</xdr:colOff>
      <xdr:row>20</xdr:row>
      <xdr:rowOff>158073</xdr:rowOff>
    </xdr:from>
    <xdr:ext cx="287964" cy="331116"/>
    <xdr:sp macro="" textlink="PivotTable!R17">
      <xdr:nvSpPr>
        <xdr:cNvPr id="77" name="TextBox 76">
          <a:extLst>
            <a:ext uri="{FF2B5EF4-FFF2-40B4-BE49-F238E27FC236}">
              <a16:creationId xmlns:a16="http://schemas.microsoft.com/office/drawing/2014/main" id="{9F86A6B7-E87F-4260-988E-A83B8E7A221E}"/>
            </a:ext>
          </a:extLst>
        </xdr:cNvPr>
        <xdr:cNvSpPr txBox="1"/>
      </xdr:nvSpPr>
      <xdr:spPr>
        <a:xfrm>
          <a:off x="2668047" y="3968073"/>
          <a:ext cx="28796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r"/>
          <a:fld id="{82CF3DF4-320F-42CB-90BA-FC34A1F75360}" type="TxLink">
            <a:rPr lang="en-US" sz="1400" b="1" i="0" u="none" strike="noStrike">
              <a:solidFill>
                <a:srgbClr val="00B7D2"/>
              </a:solidFill>
              <a:latin typeface="Segoe UI" panose="020B0502040204020203" pitchFamily="34" charset="0"/>
              <a:ea typeface="+mn-ea"/>
              <a:cs typeface="Segoe UI" panose="020B0502040204020203" pitchFamily="34" charset="0"/>
            </a:rPr>
            <a:pPr marL="0" indent="0" algn="r"/>
            <a:t>9</a:t>
          </a:fld>
          <a:endParaRPr lang="en-IN" sz="1400" b="1" i="0" u="none" strike="noStrike">
            <a:solidFill>
              <a:srgbClr val="00B7D2"/>
            </a:solidFill>
            <a:latin typeface="Segoe UI" panose="020B0502040204020203" pitchFamily="34" charset="0"/>
            <a:ea typeface="+mn-ea"/>
            <a:cs typeface="Segoe UI" panose="020B0502040204020203" pitchFamily="34" charset="0"/>
          </a:endParaRPr>
        </a:p>
      </xdr:txBody>
    </xdr:sp>
    <xdr:clientData/>
  </xdr:oneCellAnchor>
  <xdr:oneCellAnchor>
    <xdr:from>
      <xdr:col>1</xdr:col>
      <xdr:colOff>504825</xdr:colOff>
      <xdr:row>11</xdr:row>
      <xdr:rowOff>183356</xdr:rowOff>
    </xdr:from>
    <xdr:ext cx="1138068" cy="569900"/>
    <xdr:sp macro="" textlink="">
      <xdr:nvSpPr>
        <xdr:cNvPr id="78" name="TextBox 77">
          <a:extLst>
            <a:ext uri="{FF2B5EF4-FFF2-40B4-BE49-F238E27FC236}">
              <a16:creationId xmlns:a16="http://schemas.microsoft.com/office/drawing/2014/main" id="{4BDA40CC-2297-448F-A0E1-78E7FD1620DA}"/>
            </a:ext>
          </a:extLst>
        </xdr:cNvPr>
        <xdr:cNvSpPr txBox="1"/>
      </xdr:nvSpPr>
      <xdr:spPr>
        <a:xfrm>
          <a:off x="1112044" y="2278856"/>
          <a:ext cx="1138068"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baseline="0">
              <a:solidFill>
                <a:srgbClr val="00B7D2"/>
              </a:solidFill>
              <a:latin typeface="Segoe UI" panose="020B0502040204020203" pitchFamily="34" charset="0"/>
              <a:ea typeface="+mn-ea"/>
              <a:cs typeface="Segoe UI" panose="020B0502040204020203" pitchFamily="34" charset="0"/>
            </a:rPr>
            <a:t>Skills</a:t>
          </a:r>
        </a:p>
        <a:p>
          <a:pPr algn="l"/>
          <a:r>
            <a:rPr lang="en-IN" sz="1400" b="1" baseline="0">
              <a:solidFill>
                <a:srgbClr val="00B7D2"/>
              </a:solidFill>
              <a:latin typeface="Segoe UI" panose="020B0502040204020203" pitchFamily="34" charset="0"/>
              <a:ea typeface="+mn-ea"/>
              <a:cs typeface="Segoe UI" panose="020B0502040204020203" pitchFamily="34" charset="0"/>
            </a:rPr>
            <a:t>Breakdown</a:t>
          </a:r>
        </a:p>
      </xdr:txBody>
    </xdr:sp>
    <xdr:clientData/>
  </xdr:oneCellAnchor>
  <xdr:oneCellAnchor>
    <xdr:from>
      <xdr:col>5</xdr:col>
      <xdr:colOff>326232</xdr:colOff>
      <xdr:row>8</xdr:row>
      <xdr:rowOff>51653</xdr:rowOff>
    </xdr:from>
    <xdr:ext cx="704680" cy="718466"/>
    <xdr:sp macro="" textlink="PivotTable!J24">
      <xdr:nvSpPr>
        <xdr:cNvPr id="79" name="TextBox 78">
          <a:extLst>
            <a:ext uri="{FF2B5EF4-FFF2-40B4-BE49-F238E27FC236}">
              <a16:creationId xmlns:a16="http://schemas.microsoft.com/office/drawing/2014/main" id="{3A7AAEC7-E305-ACB0-CFC5-FC01122C5B27}"/>
            </a:ext>
          </a:extLst>
        </xdr:cNvPr>
        <xdr:cNvSpPr txBox="1"/>
      </xdr:nvSpPr>
      <xdr:spPr>
        <a:xfrm>
          <a:off x="3362326" y="1575653"/>
          <a:ext cx="70468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fld id="{D12FCEAC-5EA7-415A-9D50-5FF2133973A9}" type="TxLink">
            <a:rPr lang="en-US" sz="4000" b="0" i="0" u="none" strike="noStrike" baseline="0">
              <a:solidFill>
                <a:srgbClr val="FF00FF"/>
              </a:solidFill>
              <a:latin typeface="Kulim Park"/>
            </a:rPr>
            <a:pPr algn="l"/>
            <a:t>50</a:t>
          </a:fld>
          <a:endParaRPr lang="en-IN" sz="4000" b="1">
            <a:solidFill>
              <a:srgbClr val="FF00FF"/>
            </a:solidFill>
            <a:latin typeface="Kulim Park"/>
          </a:endParaRPr>
        </a:p>
      </xdr:txBody>
    </xdr:sp>
    <xdr:clientData/>
  </xdr:oneCellAnchor>
  <xdr:oneCellAnchor>
    <xdr:from>
      <xdr:col>5</xdr:col>
      <xdr:colOff>326232</xdr:colOff>
      <xdr:row>11</xdr:row>
      <xdr:rowOff>67801</xdr:rowOff>
    </xdr:from>
    <xdr:ext cx="1370696" cy="297004"/>
    <xdr:sp macro="" textlink="">
      <xdr:nvSpPr>
        <xdr:cNvPr id="80" name="TextBox 79">
          <a:extLst>
            <a:ext uri="{FF2B5EF4-FFF2-40B4-BE49-F238E27FC236}">
              <a16:creationId xmlns:a16="http://schemas.microsoft.com/office/drawing/2014/main" id="{5C97B820-7CC0-6D6C-A275-FC1A9D5C8DC6}"/>
            </a:ext>
          </a:extLst>
        </xdr:cNvPr>
        <xdr:cNvSpPr txBox="1"/>
      </xdr:nvSpPr>
      <xdr:spPr>
        <a:xfrm>
          <a:off x="3362326" y="2163301"/>
          <a:ext cx="137069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Segoe UI" panose="020B0502040204020203" pitchFamily="34" charset="0"/>
              <a:cs typeface="Segoe UI" panose="020B0502040204020203" pitchFamily="34" charset="0"/>
            </a:rPr>
            <a:t>Total Employees</a:t>
          </a:r>
          <a:endParaRPr lang="en-IN" sz="12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5</xdr:col>
      <xdr:colOff>314326</xdr:colOff>
      <xdr:row>7</xdr:row>
      <xdr:rowOff>125954</xdr:rowOff>
    </xdr:from>
    <xdr:ext cx="1587935" cy="299762"/>
    <xdr:sp macro="" textlink="">
      <xdr:nvSpPr>
        <xdr:cNvPr id="81" name="TextBox 80">
          <a:extLst>
            <a:ext uri="{FF2B5EF4-FFF2-40B4-BE49-F238E27FC236}">
              <a16:creationId xmlns:a16="http://schemas.microsoft.com/office/drawing/2014/main" id="{5056A0A7-E3B1-5532-39AF-17E770A8C263}"/>
            </a:ext>
          </a:extLst>
        </xdr:cNvPr>
        <xdr:cNvSpPr txBox="1"/>
      </xdr:nvSpPr>
      <xdr:spPr>
        <a:xfrm>
          <a:off x="3350420" y="1459454"/>
          <a:ext cx="1587935" cy="299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Segoe UI" panose="020B0502040204020203" pitchFamily="34" charset="0"/>
              <a:ea typeface="+mn-ea"/>
              <a:cs typeface="Segoe UI" panose="020B0502040204020203" pitchFamily="34" charset="0"/>
            </a:rPr>
            <a:t>Employees</a:t>
          </a:r>
          <a:r>
            <a:rPr lang="en-IN" sz="1200" b="1" baseline="0">
              <a:solidFill>
                <a:srgbClr val="00B7D2"/>
              </a:solidFill>
              <a:latin typeface="Kulim Park"/>
            </a:rPr>
            <a:t> </a:t>
          </a:r>
          <a:r>
            <a:rPr lang="en-IN" sz="1200" b="1" baseline="0">
              <a:solidFill>
                <a:srgbClr val="00B7D2"/>
              </a:solidFill>
              <a:latin typeface="Segoe UI" panose="020B0502040204020203" pitchFamily="34" charset="0"/>
              <a:cs typeface="Segoe UI" panose="020B0502040204020203" pitchFamily="34" charset="0"/>
            </a:rPr>
            <a:t>N</a:t>
          </a:r>
          <a:r>
            <a:rPr lang="en-IN" sz="1200" b="1" baseline="0">
              <a:solidFill>
                <a:srgbClr val="00B7D2"/>
              </a:solidFill>
              <a:latin typeface="Segoe UI" panose="020B0502040204020203" pitchFamily="34" charset="0"/>
              <a:ea typeface="+mn-ea"/>
              <a:cs typeface="Segoe UI" panose="020B0502040204020203" pitchFamily="34" charset="0"/>
            </a:rPr>
            <a:t>u</a:t>
          </a:r>
          <a:r>
            <a:rPr lang="en-IN" sz="1200" b="1" baseline="0">
              <a:solidFill>
                <a:srgbClr val="00B7D2"/>
              </a:solidFill>
              <a:latin typeface="Segoe UI" panose="020B0502040204020203" pitchFamily="34" charset="0"/>
              <a:cs typeface="Segoe UI" panose="020B0502040204020203" pitchFamily="34" charset="0"/>
            </a:rPr>
            <a:t>mber</a:t>
          </a:r>
          <a:endParaRPr lang="en-IN" sz="12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5</xdr:col>
      <xdr:colOff>266700</xdr:colOff>
      <xdr:row>14</xdr:row>
      <xdr:rowOff>16670</xdr:rowOff>
    </xdr:from>
    <xdr:ext cx="571760" cy="280205"/>
    <xdr:sp macro="" textlink="">
      <xdr:nvSpPr>
        <xdr:cNvPr id="82" name="TextBox 81">
          <a:extLst>
            <a:ext uri="{FF2B5EF4-FFF2-40B4-BE49-F238E27FC236}">
              <a16:creationId xmlns:a16="http://schemas.microsoft.com/office/drawing/2014/main" id="{484AF6F0-72E6-701B-4B77-D6C28A42EBC3}"/>
            </a:ext>
          </a:extLst>
        </xdr:cNvPr>
        <xdr:cNvSpPr txBox="1"/>
      </xdr:nvSpPr>
      <xdr:spPr>
        <a:xfrm>
          <a:off x="3302794" y="2683670"/>
          <a:ext cx="5717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Kulim Park"/>
            </a:rPr>
            <a:t>Males</a:t>
          </a:r>
          <a:endParaRPr lang="en-IN" sz="1200" b="1">
            <a:solidFill>
              <a:srgbClr val="00B7D2"/>
            </a:solidFill>
            <a:latin typeface="Kulim Park"/>
          </a:endParaRPr>
        </a:p>
      </xdr:txBody>
    </xdr:sp>
    <xdr:clientData/>
  </xdr:oneCellAnchor>
  <xdr:oneCellAnchor>
    <xdr:from>
      <xdr:col>7</xdr:col>
      <xdr:colOff>326235</xdr:colOff>
      <xdr:row>14</xdr:row>
      <xdr:rowOff>4765</xdr:rowOff>
    </xdr:from>
    <xdr:ext cx="710516" cy="280205"/>
    <xdr:sp macro="" textlink="">
      <xdr:nvSpPr>
        <xdr:cNvPr id="83" name="TextBox 82">
          <a:extLst>
            <a:ext uri="{FF2B5EF4-FFF2-40B4-BE49-F238E27FC236}">
              <a16:creationId xmlns:a16="http://schemas.microsoft.com/office/drawing/2014/main" id="{99054DEC-85E2-2F68-CE9F-C1862FBC6560}"/>
            </a:ext>
          </a:extLst>
        </xdr:cNvPr>
        <xdr:cNvSpPr txBox="1"/>
      </xdr:nvSpPr>
      <xdr:spPr>
        <a:xfrm>
          <a:off x="4576766" y="2671765"/>
          <a:ext cx="7105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Kulim Park"/>
            </a:rPr>
            <a:t>Females</a:t>
          </a:r>
          <a:endParaRPr lang="en-IN" sz="1200" b="1">
            <a:solidFill>
              <a:srgbClr val="00B7D2"/>
            </a:solidFill>
            <a:latin typeface="Kulim Park"/>
          </a:endParaRPr>
        </a:p>
      </xdr:txBody>
    </xdr:sp>
    <xdr:clientData/>
  </xdr:oneCellAnchor>
  <xdr:twoCellAnchor>
    <xdr:from>
      <xdr:col>7</xdr:col>
      <xdr:colOff>250034</xdr:colOff>
      <xdr:row>15</xdr:row>
      <xdr:rowOff>35718</xdr:rowOff>
    </xdr:from>
    <xdr:to>
      <xdr:col>9</xdr:col>
      <xdr:colOff>83346</xdr:colOff>
      <xdr:row>19</xdr:row>
      <xdr:rowOff>154781</xdr:rowOff>
    </xdr:to>
    <xdr:graphicFrame macro="">
      <xdr:nvGraphicFramePr>
        <xdr:cNvPr id="84" name="Chart 83">
          <a:extLst>
            <a:ext uri="{FF2B5EF4-FFF2-40B4-BE49-F238E27FC236}">
              <a16:creationId xmlns:a16="http://schemas.microsoft.com/office/drawing/2014/main" id="{ADC2BEE2-50CC-4F36-9F66-160063D83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273845</xdr:colOff>
      <xdr:row>15</xdr:row>
      <xdr:rowOff>47625</xdr:rowOff>
    </xdr:from>
    <xdr:to>
      <xdr:col>7</xdr:col>
      <xdr:colOff>11907</xdr:colOff>
      <xdr:row>19</xdr:row>
      <xdr:rowOff>142875</xdr:rowOff>
    </xdr:to>
    <xdr:graphicFrame macro="">
      <xdr:nvGraphicFramePr>
        <xdr:cNvPr id="85" name="Chart 84">
          <a:extLst>
            <a:ext uri="{FF2B5EF4-FFF2-40B4-BE49-F238E27FC236}">
              <a16:creationId xmlns:a16="http://schemas.microsoft.com/office/drawing/2014/main" id="{FFAAFC15-91F8-40F6-A263-DFF273A89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5</xdr:col>
      <xdr:colOff>505133</xdr:colOff>
      <xdr:row>16</xdr:row>
      <xdr:rowOff>136563</xdr:rowOff>
    </xdr:from>
    <xdr:ext cx="495072" cy="297004"/>
    <xdr:sp macro="" textlink="PivotTable!K22">
      <xdr:nvSpPr>
        <xdr:cNvPr id="86" name="TextBox 85">
          <a:extLst>
            <a:ext uri="{FF2B5EF4-FFF2-40B4-BE49-F238E27FC236}">
              <a16:creationId xmlns:a16="http://schemas.microsoft.com/office/drawing/2014/main" id="{3154A753-B760-2E77-F1F4-CC7A85FDA717}"/>
            </a:ext>
          </a:extLst>
        </xdr:cNvPr>
        <xdr:cNvSpPr txBox="1"/>
      </xdr:nvSpPr>
      <xdr:spPr>
        <a:xfrm>
          <a:off x="3541227" y="3184563"/>
          <a:ext cx="49507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A76E07F-AD75-44D8-917E-DEBF0A1E2E67}" type="TxLink">
            <a:rPr lang="en-US" sz="1200" b="1" i="0" u="none" strike="noStrike">
              <a:solidFill>
                <a:schemeClr val="bg1"/>
              </a:solidFill>
              <a:latin typeface="Segoe UI" panose="020B0502040204020203" pitchFamily="34" charset="0"/>
              <a:cs typeface="Segoe UI" panose="020B0502040204020203" pitchFamily="34" charset="0"/>
            </a:rPr>
            <a:pPr algn="ctr"/>
            <a:t>48%</a:t>
          </a:fld>
          <a:endParaRPr lang="en-IN" sz="1200">
            <a:solidFill>
              <a:schemeClr val="bg1"/>
            </a:solidFill>
            <a:latin typeface="Segoe UI" panose="020B0502040204020203" pitchFamily="34" charset="0"/>
            <a:cs typeface="Segoe UI" panose="020B0502040204020203" pitchFamily="34" charset="0"/>
          </a:endParaRPr>
        </a:p>
      </xdr:txBody>
    </xdr:sp>
    <xdr:clientData/>
  </xdr:oneCellAnchor>
  <xdr:oneCellAnchor>
    <xdr:from>
      <xdr:col>7</xdr:col>
      <xdr:colOff>540853</xdr:colOff>
      <xdr:row>16</xdr:row>
      <xdr:rowOff>136563</xdr:rowOff>
    </xdr:from>
    <xdr:ext cx="495072" cy="297004"/>
    <xdr:sp macro="" textlink="PivotTable!K23">
      <xdr:nvSpPr>
        <xdr:cNvPr id="87" name="TextBox 86">
          <a:extLst>
            <a:ext uri="{FF2B5EF4-FFF2-40B4-BE49-F238E27FC236}">
              <a16:creationId xmlns:a16="http://schemas.microsoft.com/office/drawing/2014/main" id="{CB876547-0990-30AB-4721-1636E3ABA339}"/>
            </a:ext>
          </a:extLst>
        </xdr:cNvPr>
        <xdr:cNvSpPr txBox="1"/>
      </xdr:nvSpPr>
      <xdr:spPr>
        <a:xfrm>
          <a:off x="4791384" y="3184563"/>
          <a:ext cx="49507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8BB5F35-B420-4891-B46D-B824587B1D38}" type="TxLink">
            <a:rPr lang="en-US" sz="1200" b="1" i="0" u="none" strike="noStrike">
              <a:solidFill>
                <a:schemeClr val="bg1"/>
              </a:solidFill>
              <a:latin typeface="Segoe UI" panose="020B0502040204020203" pitchFamily="34" charset="0"/>
              <a:cs typeface="Segoe UI" panose="020B0502040204020203" pitchFamily="34" charset="0"/>
            </a:rPr>
            <a:pPr algn="ctr"/>
            <a:t>52%</a:t>
          </a:fld>
          <a:endParaRPr lang="en-IN" sz="1200">
            <a:solidFill>
              <a:schemeClr val="bg1"/>
            </a:solidFill>
            <a:latin typeface="Segoe UI" panose="020B0502040204020203" pitchFamily="34" charset="0"/>
            <a:cs typeface="Segoe UI" panose="020B0502040204020203" pitchFamily="34" charset="0"/>
          </a:endParaRPr>
        </a:p>
      </xdr:txBody>
    </xdr:sp>
    <xdr:clientData/>
  </xdr:oneCellAnchor>
  <xdr:twoCellAnchor>
    <xdr:from>
      <xdr:col>9</xdr:col>
      <xdr:colOff>440531</xdr:colOff>
      <xdr:row>9</xdr:row>
      <xdr:rowOff>95249</xdr:rowOff>
    </xdr:from>
    <xdr:to>
      <xdr:col>13</xdr:col>
      <xdr:colOff>238124</xdr:colOff>
      <xdr:row>17</xdr:row>
      <xdr:rowOff>71437</xdr:rowOff>
    </xdr:to>
    <xdr:graphicFrame macro="">
      <xdr:nvGraphicFramePr>
        <xdr:cNvPr id="90" name="Chart 89">
          <a:extLst>
            <a:ext uri="{FF2B5EF4-FFF2-40B4-BE49-F238E27FC236}">
              <a16:creationId xmlns:a16="http://schemas.microsoft.com/office/drawing/2014/main" id="{04B65C58-9D3B-4B04-BD0E-3416AA7C2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4763</xdr:colOff>
      <xdr:row>17</xdr:row>
      <xdr:rowOff>178592</xdr:rowOff>
    </xdr:from>
    <xdr:ext cx="744563" cy="262892"/>
    <xdr:sp macro="" textlink="">
      <xdr:nvSpPr>
        <xdr:cNvPr id="91" name="TextBox 90">
          <a:extLst>
            <a:ext uri="{FF2B5EF4-FFF2-40B4-BE49-F238E27FC236}">
              <a16:creationId xmlns:a16="http://schemas.microsoft.com/office/drawing/2014/main" id="{F87EADE0-6DC4-4AEE-92F4-9DCF4A1C506E}"/>
            </a:ext>
          </a:extLst>
        </xdr:cNvPr>
        <xdr:cNvSpPr txBox="1"/>
      </xdr:nvSpPr>
      <xdr:spPr>
        <a:xfrm>
          <a:off x="7291388" y="3417092"/>
          <a:ext cx="744563"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Managers</a:t>
          </a:r>
        </a:p>
      </xdr:txBody>
    </xdr:sp>
    <xdr:clientData/>
  </xdr:oneCellAnchor>
  <xdr:oneCellAnchor>
    <xdr:from>
      <xdr:col>10</xdr:col>
      <xdr:colOff>133348</xdr:colOff>
      <xdr:row>17</xdr:row>
      <xdr:rowOff>171448</xdr:rowOff>
    </xdr:from>
    <xdr:ext cx="1035220" cy="262892"/>
    <xdr:sp macro="" textlink="">
      <xdr:nvSpPr>
        <xdr:cNvPr id="92" name="TextBox 91">
          <a:extLst>
            <a:ext uri="{FF2B5EF4-FFF2-40B4-BE49-F238E27FC236}">
              <a16:creationId xmlns:a16="http://schemas.microsoft.com/office/drawing/2014/main" id="{1AFD7628-A34E-439B-AB4E-F64F1D0E9148}"/>
            </a:ext>
          </a:extLst>
        </xdr:cNvPr>
        <xdr:cNvSpPr txBox="1"/>
      </xdr:nvSpPr>
      <xdr:spPr>
        <a:xfrm>
          <a:off x="6205536" y="3409948"/>
          <a:ext cx="1035220"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HR Specialistes</a:t>
          </a:r>
        </a:p>
      </xdr:txBody>
    </xdr:sp>
    <xdr:clientData/>
  </xdr:oneCellAnchor>
  <xdr:oneCellAnchor>
    <xdr:from>
      <xdr:col>12</xdr:col>
      <xdr:colOff>250031</xdr:colOff>
      <xdr:row>16</xdr:row>
      <xdr:rowOff>128585</xdr:rowOff>
    </xdr:from>
    <xdr:ext cx="817788" cy="262892"/>
    <xdr:sp macro="" textlink="">
      <xdr:nvSpPr>
        <xdr:cNvPr id="93" name="TextBox 92">
          <a:extLst>
            <a:ext uri="{FF2B5EF4-FFF2-40B4-BE49-F238E27FC236}">
              <a16:creationId xmlns:a16="http://schemas.microsoft.com/office/drawing/2014/main" id="{75773633-DA3F-41DE-ADC9-A0B7A1F7D1F3}"/>
            </a:ext>
          </a:extLst>
        </xdr:cNvPr>
        <xdr:cNvSpPr txBox="1"/>
      </xdr:nvSpPr>
      <xdr:spPr>
        <a:xfrm>
          <a:off x="7536656" y="3176585"/>
          <a:ext cx="817788"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Developers</a:t>
          </a:r>
        </a:p>
      </xdr:txBody>
    </xdr:sp>
    <xdr:clientData/>
  </xdr:oneCellAnchor>
  <xdr:oneCellAnchor>
    <xdr:from>
      <xdr:col>11</xdr:col>
      <xdr:colOff>21432</xdr:colOff>
      <xdr:row>16</xdr:row>
      <xdr:rowOff>133347</xdr:rowOff>
    </xdr:from>
    <xdr:ext cx="741293" cy="262892"/>
    <xdr:sp macro="" textlink="">
      <xdr:nvSpPr>
        <xdr:cNvPr id="94" name="TextBox 93">
          <a:extLst>
            <a:ext uri="{FF2B5EF4-FFF2-40B4-BE49-F238E27FC236}">
              <a16:creationId xmlns:a16="http://schemas.microsoft.com/office/drawing/2014/main" id="{48FEF708-586B-4608-A21D-D53A70914F06}"/>
            </a:ext>
          </a:extLst>
        </xdr:cNvPr>
        <xdr:cNvSpPr txBox="1"/>
      </xdr:nvSpPr>
      <xdr:spPr>
        <a:xfrm>
          <a:off x="6700838" y="3181347"/>
          <a:ext cx="741293"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Designers</a:t>
          </a:r>
        </a:p>
      </xdr:txBody>
    </xdr:sp>
    <xdr:clientData/>
  </xdr:oneCellAnchor>
  <xdr:oneCellAnchor>
    <xdr:from>
      <xdr:col>9</xdr:col>
      <xdr:colOff>590549</xdr:colOff>
      <xdr:row>16</xdr:row>
      <xdr:rowOff>138110</xdr:rowOff>
    </xdr:from>
    <xdr:ext cx="596253" cy="262892"/>
    <xdr:sp macro="" textlink="">
      <xdr:nvSpPr>
        <xdr:cNvPr id="95" name="TextBox 94">
          <a:extLst>
            <a:ext uri="{FF2B5EF4-FFF2-40B4-BE49-F238E27FC236}">
              <a16:creationId xmlns:a16="http://schemas.microsoft.com/office/drawing/2014/main" id="{E5C91E90-F8FA-428F-8B23-525A2B28E8C2}"/>
            </a:ext>
          </a:extLst>
        </xdr:cNvPr>
        <xdr:cNvSpPr txBox="1"/>
      </xdr:nvSpPr>
      <xdr:spPr>
        <a:xfrm>
          <a:off x="6055518" y="3186110"/>
          <a:ext cx="596253"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1"/>
              </a:solidFill>
              <a:latin typeface="Segoe UI" panose="020B0502040204020203" pitchFamily="34" charset="0"/>
              <a:cs typeface="Segoe UI" panose="020B0502040204020203" pitchFamily="34" charset="0"/>
            </a:rPr>
            <a:t>Analyst</a:t>
          </a:r>
        </a:p>
      </xdr:txBody>
    </xdr:sp>
    <xdr:clientData/>
  </xdr:oneCellAnchor>
  <xdr:twoCellAnchor>
    <xdr:from>
      <xdr:col>11</xdr:col>
      <xdr:colOff>521494</xdr:colOff>
      <xdr:row>18</xdr:row>
      <xdr:rowOff>80965</xdr:rowOff>
    </xdr:from>
    <xdr:to>
      <xdr:col>12</xdr:col>
      <xdr:colOff>23812</xdr:colOff>
      <xdr:row>18</xdr:row>
      <xdr:rowOff>166689</xdr:rowOff>
    </xdr:to>
    <xdr:sp macro="" textlink="">
      <xdr:nvSpPr>
        <xdr:cNvPr id="96" name="Oval 95">
          <a:extLst>
            <a:ext uri="{FF2B5EF4-FFF2-40B4-BE49-F238E27FC236}">
              <a16:creationId xmlns:a16="http://schemas.microsoft.com/office/drawing/2014/main" id="{9E2D26CD-F2CE-48FD-A95E-04D7236A3760}"/>
            </a:ext>
          </a:extLst>
        </xdr:cNvPr>
        <xdr:cNvSpPr/>
      </xdr:nvSpPr>
      <xdr:spPr>
        <a:xfrm>
          <a:off x="7200900" y="3509965"/>
          <a:ext cx="109537" cy="85724"/>
        </a:xfrm>
        <a:prstGeom prst="ellipse">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42860</xdr:colOff>
      <xdr:row>18</xdr:row>
      <xdr:rowOff>54770</xdr:rowOff>
    </xdr:from>
    <xdr:to>
      <xdr:col>10</xdr:col>
      <xdr:colOff>152397</xdr:colOff>
      <xdr:row>18</xdr:row>
      <xdr:rowOff>140494</xdr:rowOff>
    </xdr:to>
    <xdr:sp macro="" textlink="">
      <xdr:nvSpPr>
        <xdr:cNvPr id="97" name="Oval 96">
          <a:extLst>
            <a:ext uri="{FF2B5EF4-FFF2-40B4-BE49-F238E27FC236}">
              <a16:creationId xmlns:a16="http://schemas.microsoft.com/office/drawing/2014/main" id="{A0FA39D0-F52A-43E9-AC52-A74738BDF6AA}"/>
            </a:ext>
          </a:extLst>
        </xdr:cNvPr>
        <xdr:cNvSpPr/>
      </xdr:nvSpPr>
      <xdr:spPr>
        <a:xfrm>
          <a:off x="6115048" y="3483770"/>
          <a:ext cx="109537" cy="85724"/>
        </a:xfrm>
        <a:prstGeom prst="ellipse">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135731</xdr:colOff>
      <xdr:row>17</xdr:row>
      <xdr:rowOff>28576</xdr:rowOff>
    </xdr:from>
    <xdr:to>
      <xdr:col>12</xdr:col>
      <xdr:colOff>245268</xdr:colOff>
      <xdr:row>17</xdr:row>
      <xdr:rowOff>114300</xdr:rowOff>
    </xdr:to>
    <xdr:sp macro="" textlink="">
      <xdr:nvSpPr>
        <xdr:cNvPr id="98" name="Oval 97">
          <a:extLst>
            <a:ext uri="{FF2B5EF4-FFF2-40B4-BE49-F238E27FC236}">
              <a16:creationId xmlns:a16="http://schemas.microsoft.com/office/drawing/2014/main" id="{06282ADD-2E0D-4AEE-B81D-95A2BB9A8EFE}"/>
            </a:ext>
          </a:extLst>
        </xdr:cNvPr>
        <xdr:cNvSpPr/>
      </xdr:nvSpPr>
      <xdr:spPr>
        <a:xfrm>
          <a:off x="7422356" y="3267076"/>
          <a:ext cx="109537" cy="85724"/>
        </a:xfrm>
        <a:prstGeom prst="ellipse">
          <a:avLst/>
        </a:prstGeom>
        <a:solidFill>
          <a:srgbClr val="0070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561975</xdr:colOff>
      <xdr:row>17</xdr:row>
      <xdr:rowOff>26195</xdr:rowOff>
    </xdr:from>
    <xdr:to>
      <xdr:col>11</xdr:col>
      <xdr:colOff>64294</xdr:colOff>
      <xdr:row>17</xdr:row>
      <xdr:rowOff>111919</xdr:rowOff>
    </xdr:to>
    <xdr:sp macro="" textlink="">
      <xdr:nvSpPr>
        <xdr:cNvPr id="99" name="Oval 98">
          <a:extLst>
            <a:ext uri="{FF2B5EF4-FFF2-40B4-BE49-F238E27FC236}">
              <a16:creationId xmlns:a16="http://schemas.microsoft.com/office/drawing/2014/main" id="{544CB703-9159-45F3-9710-B7425C9F511A}"/>
            </a:ext>
          </a:extLst>
        </xdr:cNvPr>
        <xdr:cNvSpPr/>
      </xdr:nvSpPr>
      <xdr:spPr>
        <a:xfrm>
          <a:off x="6634163" y="3264695"/>
          <a:ext cx="109537" cy="85724"/>
        </a:xfrm>
        <a:prstGeom prst="ellipse">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523874</xdr:colOff>
      <xdr:row>17</xdr:row>
      <xdr:rowOff>35720</xdr:rowOff>
    </xdr:from>
    <xdr:to>
      <xdr:col>10</xdr:col>
      <xdr:colOff>26192</xdr:colOff>
      <xdr:row>17</xdr:row>
      <xdr:rowOff>121444</xdr:rowOff>
    </xdr:to>
    <xdr:sp macro="" textlink="">
      <xdr:nvSpPr>
        <xdr:cNvPr id="100" name="Oval 99">
          <a:extLst>
            <a:ext uri="{FF2B5EF4-FFF2-40B4-BE49-F238E27FC236}">
              <a16:creationId xmlns:a16="http://schemas.microsoft.com/office/drawing/2014/main" id="{942CE345-48D9-46DB-B61B-3230C2E14F2E}"/>
            </a:ext>
          </a:extLst>
        </xdr:cNvPr>
        <xdr:cNvSpPr/>
      </xdr:nvSpPr>
      <xdr:spPr>
        <a:xfrm>
          <a:off x="5988843" y="3274220"/>
          <a:ext cx="109537" cy="85724"/>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oneCellAnchor>
    <xdr:from>
      <xdr:col>9</xdr:col>
      <xdr:colOff>592931</xdr:colOff>
      <xdr:row>7</xdr:row>
      <xdr:rowOff>128588</xdr:rowOff>
    </xdr:from>
    <xdr:ext cx="1435906" cy="334259"/>
    <xdr:sp macro="" textlink="">
      <xdr:nvSpPr>
        <xdr:cNvPr id="101" name="TextBox 100">
          <a:extLst>
            <a:ext uri="{FF2B5EF4-FFF2-40B4-BE49-F238E27FC236}">
              <a16:creationId xmlns:a16="http://schemas.microsoft.com/office/drawing/2014/main" id="{4E923D4B-312A-0CD9-7DEA-3FCE467C9CD8}"/>
            </a:ext>
          </a:extLst>
        </xdr:cNvPr>
        <xdr:cNvSpPr txBox="1"/>
      </xdr:nvSpPr>
      <xdr:spPr>
        <a:xfrm>
          <a:off x="6057900" y="1462088"/>
          <a:ext cx="1435906" cy="334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baseline="0">
              <a:solidFill>
                <a:srgbClr val="00B7D2"/>
              </a:solidFill>
              <a:latin typeface="Segoe UI" panose="020B0502040204020203" pitchFamily="34" charset="0"/>
              <a:ea typeface="+mn-ea"/>
              <a:cs typeface="Segoe UI" panose="020B0502040204020203" pitchFamily="34" charset="0"/>
            </a:rPr>
            <a:t>Leave</a:t>
          </a:r>
          <a:r>
            <a:rPr lang="en-IN" sz="1400" b="1" baseline="0">
              <a:solidFill>
                <a:srgbClr val="00B7D2"/>
              </a:solidFill>
              <a:latin typeface="Kulim Park"/>
              <a:ea typeface="+mn-ea"/>
              <a:cs typeface="+mn-cs"/>
            </a:rPr>
            <a:t> </a:t>
          </a:r>
          <a:r>
            <a:rPr lang="en-IN" sz="1400" b="1" baseline="0">
              <a:solidFill>
                <a:srgbClr val="00B7D2"/>
              </a:solidFill>
              <a:latin typeface="Segoe UI" panose="020B0502040204020203" pitchFamily="34" charset="0"/>
              <a:ea typeface="+mn-ea"/>
              <a:cs typeface="Segoe UI" panose="020B0502040204020203" pitchFamily="34" charset="0"/>
            </a:rPr>
            <a:t>Tracking</a:t>
          </a:r>
        </a:p>
      </xdr:txBody>
    </xdr:sp>
    <xdr:clientData/>
  </xdr:oneCellAnchor>
  <xdr:oneCellAnchor>
    <xdr:from>
      <xdr:col>11</xdr:col>
      <xdr:colOff>139331</xdr:colOff>
      <xdr:row>10</xdr:row>
      <xdr:rowOff>154171</xdr:rowOff>
    </xdr:from>
    <xdr:ext cx="412292" cy="233205"/>
    <xdr:sp macro="" textlink="PivotTable!G15">
      <xdr:nvSpPr>
        <xdr:cNvPr id="102" name="TextBox 101">
          <a:extLst>
            <a:ext uri="{FF2B5EF4-FFF2-40B4-BE49-F238E27FC236}">
              <a16:creationId xmlns:a16="http://schemas.microsoft.com/office/drawing/2014/main" id="{1F1E46EF-AAB7-4053-8411-581663EEC9E6}"/>
            </a:ext>
          </a:extLst>
        </xdr:cNvPr>
        <xdr:cNvSpPr txBox="1"/>
      </xdr:nvSpPr>
      <xdr:spPr>
        <a:xfrm>
          <a:off x="6818737" y="2059171"/>
          <a:ext cx="41229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8102354-EC68-4969-8CB5-68F52E95690E}" type="TxLink">
            <a:rPr lang="en-US" sz="900" b="0" i="0" u="none" strike="noStrike">
              <a:solidFill>
                <a:schemeClr val="bg1"/>
              </a:solidFill>
              <a:latin typeface="Kulim Park"/>
            </a:rPr>
            <a:pPr algn="ctr"/>
            <a:t> 104 </a:t>
          </a:fld>
          <a:endParaRPr lang="en-IN" sz="500">
            <a:solidFill>
              <a:schemeClr val="bg1"/>
            </a:solidFill>
            <a:latin typeface="Kulim Park"/>
          </a:endParaRPr>
        </a:p>
      </xdr:txBody>
    </xdr:sp>
    <xdr:clientData/>
  </xdr:oneCellAnchor>
  <xdr:oneCellAnchor>
    <xdr:from>
      <xdr:col>12</xdr:col>
      <xdr:colOff>136949</xdr:colOff>
      <xdr:row>10</xdr:row>
      <xdr:rowOff>20822</xdr:rowOff>
    </xdr:from>
    <xdr:ext cx="412293" cy="233205"/>
    <xdr:sp macro="" textlink="PivotTable!G17">
      <xdr:nvSpPr>
        <xdr:cNvPr id="103" name="TextBox 102">
          <a:extLst>
            <a:ext uri="{FF2B5EF4-FFF2-40B4-BE49-F238E27FC236}">
              <a16:creationId xmlns:a16="http://schemas.microsoft.com/office/drawing/2014/main" id="{A284A027-C083-4F20-88C6-F3B8502774DC}"/>
            </a:ext>
          </a:extLst>
        </xdr:cNvPr>
        <xdr:cNvSpPr txBox="1"/>
      </xdr:nvSpPr>
      <xdr:spPr>
        <a:xfrm>
          <a:off x="7423574" y="1925822"/>
          <a:ext cx="41229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9F24072-F5FD-46CE-8871-10EDC3C707E1}" type="TxLink">
            <a:rPr lang="en-US" sz="900" b="0" i="0" u="none" strike="noStrike">
              <a:solidFill>
                <a:schemeClr val="bg1"/>
              </a:solidFill>
              <a:latin typeface="Kulim Park"/>
            </a:rPr>
            <a:pPr algn="ctr"/>
            <a:t> 122 </a:t>
          </a:fld>
          <a:endParaRPr lang="en-IN" sz="500">
            <a:solidFill>
              <a:schemeClr val="bg1"/>
            </a:solidFill>
            <a:latin typeface="Kulim Park"/>
          </a:endParaRPr>
        </a:p>
      </xdr:txBody>
    </xdr:sp>
    <xdr:clientData/>
  </xdr:oneCellAnchor>
  <xdr:oneCellAnchor>
    <xdr:from>
      <xdr:col>11</xdr:col>
      <xdr:colOff>432223</xdr:colOff>
      <xdr:row>10</xdr:row>
      <xdr:rowOff>18440</xdr:rowOff>
    </xdr:from>
    <xdr:ext cx="412293" cy="233205"/>
    <xdr:sp macro="" textlink="PivotTable!G16">
      <xdr:nvSpPr>
        <xdr:cNvPr id="104" name="TextBox 103">
          <a:extLst>
            <a:ext uri="{FF2B5EF4-FFF2-40B4-BE49-F238E27FC236}">
              <a16:creationId xmlns:a16="http://schemas.microsoft.com/office/drawing/2014/main" id="{47C2E4DD-2D83-4977-921C-2968F18E681C}"/>
            </a:ext>
          </a:extLst>
        </xdr:cNvPr>
        <xdr:cNvSpPr txBox="1"/>
      </xdr:nvSpPr>
      <xdr:spPr>
        <a:xfrm>
          <a:off x="7111629" y="1923440"/>
          <a:ext cx="41229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7245E38-E553-4F46-B409-9D5049BCA74F}" type="TxLink">
            <a:rPr lang="en-US" sz="900" b="0" i="0" u="none" strike="noStrike">
              <a:solidFill>
                <a:schemeClr val="bg1"/>
              </a:solidFill>
              <a:latin typeface="Kulim Park"/>
            </a:rPr>
            <a:pPr algn="ctr"/>
            <a:t> 123 </a:t>
          </a:fld>
          <a:endParaRPr lang="en-IN" sz="500">
            <a:solidFill>
              <a:schemeClr val="bg1"/>
            </a:solidFill>
            <a:latin typeface="Kulim Park"/>
          </a:endParaRPr>
        </a:p>
      </xdr:txBody>
    </xdr:sp>
    <xdr:clientData/>
  </xdr:oneCellAnchor>
  <xdr:oneCellAnchor>
    <xdr:from>
      <xdr:col>10</xdr:col>
      <xdr:colOff>429842</xdr:colOff>
      <xdr:row>10</xdr:row>
      <xdr:rowOff>135121</xdr:rowOff>
    </xdr:from>
    <xdr:ext cx="412292" cy="233205"/>
    <xdr:sp macro="" textlink="PivotTable!G14">
      <xdr:nvSpPr>
        <xdr:cNvPr id="105" name="TextBox 104">
          <a:extLst>
            <a:ext uri="{FF2B5EF4-FFF2-40B4-BE49-F238E27FC236}">
              <a16:creationId xmlns:a16="http://schemas.microsoft.com/office/drawing/2014/main" id="{7DCBB62A-1C56-4B2C-9C08-98A8D339B2C6}"/>
            </a:ext>
          </a:extLst>
        </xdr:cNvPr>
        <xdr:cNvSpPr txBox="1"/>
      </xdr:nvSpPr>
      <xdr:spPr>
        <a:xfrm>
          <a:off x="6502030" y="2040121"/>
          <a:ext cx="41229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150BF2F-5F90-4D27-8B1A-3C093367832D}" type="TxLink">
            <a:rPr lang="en-US" sz="900" b="0" i="0" u="none" strike="noStrike">
              <a:solidFill>
                <a:schemeClr val="bg1"/>
              </a:solidFill>
              <a:latin typeface="Kulim Park"/>
            </a:rPr>
            <a:pPr algn="ctr"/>
            <a:t> 110 </a:t>
          </a:fld>
          <a:endParaRPr lang="en-IN" sz="500">
            <a:solidFill>
              <a:schemeClr val="bg1"/>
            </a:solidFill>
            <a:latin typeface="Kulim Park"/>
          </a:endParaRPr>
        </a:p>
      </xdr:txBody>
    </xdr:sp>
    <xdr:clientData/>
  </xdr:oneCellAnchor>
  <xdr:oneCellAnchor>
    <xdr:from>
      <xdr:col>10</xdr:col>
      <xdr:colOff>170948</xdr:colOff>
      <xdr:row>14</xdr:row>
      <xdr:rowOff>37489</xdr:rowOff>
    </xdr:from>
    <xdr:ext cx="353815" cy="233205"/>
    <xdr:sp macro="" textlink="PivotTable!G13">
      <xdr:nvSpPr>
        <xdr:cNvPr id="106" name="TextBox 105">
          <a:extLst>
            <a:ext uri="{FF2B5EF4-FFF2-40B4-BE49-F238E27FC236}">
              <a16:creationId xmlns:a16="http://schemas.microsoft.com/office/drawing/2014/main" id="{8896F91A-A350-42E4-8371-552A8EDC85D6}"/>
            </a:ext>
          </a:extLst>
        </xdr:cNvPr>
        <xdr:cNvSpPr txBox="1"/>
      </xdr:nvSpPr>
      <xdr:spPr>
        <a:xfrm>
          <a:off x="6243136" y="2704489"/>
          <a:ext cx="35381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47ACC9-343C-4DC6-90C2-41E81712AC01}" type="TxLink">
            <a:rPr lang="en-US" sz="900" b="0" i="0" u="none" strike="noStrike">
              <a:solidFill>
                <a:schemeClr val="bg1"/>
              </a:solidFill>
              <a:latin typeface="Kulim Park"/>
            </a:rPr>
            <a:pPr algn="ctr"/>
            <a:t> 28 </a:t>
          </a:fld>
          <a:endParaRPr lang="en-IN" sz="500">
            <a:solidFill>
              <a:schemeClr val="bg1"/>
            </a:solidFill>
            <a:latin typeface="Kulim Park"/>
          </a:endParaRPr>
        </a:p>
      </xdr:txBody>
    </xdr:sp>
    <xdr:clientData/>
  </xdr:oneCellAnchor>
  <xdr:oneCellAnchor>
    <xdr:from>
      <xdr:col>9</xdr:col>
      <xdr:colOff>554832</xdr:colOff>
      <xdr:row>8</xdr:row>
      <xdr:rowOff>173831</xdr:rowOff>
    </xdr:from>
    <xdr:ext cx="1501821" cy="245837"/>
    <xdr:sp macro="" textlink="">
      <xdr:nvSpPr>
        <xdr:cNvPr id="107" name="TextBox 106">
          <a:extLst>
            <a:ext uri="{FF2B5EF4-FFF2-40B4-BE49-F238E27FC236}">
              <a16:creationId xmlns:a16="http://schemas.microsoft.com/office/drawing/2014/main" id="{7A291528-8791-4249-8434-5B452C86D83B}"/>
            </a:ext>
          </a:extLst>
        </xdr:cNvPr>
        <xdr:cNvSpPr txBox="1"/>
      </xdr:nvSpPr>
      <xdr:spPr>
        <a:xfrm>
          <a:off x="6019801" y="1697831"/>
          <a:ext cx="1501821"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baseline="0">
              <a:solidFill>
                <a:srgbClr val="B9C1FF"/>
              </a:solidFill>
              <a:latin typeface="Segoe UI" panose="020B0502040204020203" pitchFamily="34" charset="0"/>
              <a:cs typeface="Segoe UI" panose="020B0502040204020203" pitchFamily="34" charset="0"/>
            </a:rPr>
            <a:t>Leave taken by job titles</a:t>
          </a:r>
          <a:endParaRPr lang="en-IN" sz="900" b="1">
            <a:solidFill>
              <a:srgbClr val="B9C1FF"/>
            </a:solidFill>
            <a:latin typeface="Segoe UI" panose="020B0502040204020203" pitchFamily="34" charset="0"/>
            <a:cs typeface="Segoe UI" panose="020B0502040204020203" pitchFamily="34" charset="0"/>
          </a:endParaRPr>
        </a:p>
      </xdr:txBody>
    </xdr:sp>
    <xdr:clientData/>
  </xdr:oneCellAnchor>
  <xdr:twoCellAnchor>
    <xdr:from>
      <xdr:col>14</xdr:col>
      <xdr:colOff>166688</xdr:colOff>
      <xdr:row>13</xdr:row>
      <xdr:rowOff>0</xdr:rowOff>
    </xdr:from>
    <xdr:to>
      <xdr:col>18</xdr:col>
      <xdr:colOff>190499</xdr:colOff>
      <xdr:row>19</xdr:row>
      <xdr:rowOff>47625</xdr:rowOff>
    </xdr:to>
    <xdr:graphicFrame macro="">
      <xdr:nvGraphicFramePr>
        <xdr:cNvPr id="108" name="Chart 107">
          <a:extLst>
            <a:ext uri="{FF2B5EF4-FFF2-40B4-BE49-F238E27FC236}">
              <a16:creationId xmlns:a16="http://schemas.microsoft.com/office/drawing/2014/main" id="{768DD400-5370-4A9A-858B-50715905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14</xdr:col>
      <xdr:colOff>235747</xdr:colOff>
      <xdr:row>10</xdr:row>
      <xdr:rowOff>140494</xdr:rowOff>
    </xdr:from>
    <xdr:ext cx="858633" cy="331116"/>
    <xdr:sp macro="" textlink="">
      <xdr:nvSpPr>
        <xdr:cNvPr id="111" name="TextBox 110">
          <a:extLst>
            <a:ext uri="{FF2B5EF4-FFF2-40B4-BE49-F238E27FC236}">
              <a16:creationId xmlns:a16="http://schemas.microsoft.com/office/drawing/2014/main" id="{827C3B50-5476-1264-42D1-5C15D1AF5E31}"/>
            </a:ext>
          </a:extLst>
        </xdr:cNvPr>
        <xdr:cNvSpPr txBox="1"/>
      </xdr:nvSpPr>
      <xdr:spPr>
        <a:xfrm>
          <a:off x="8736810" y="2045494"/>
          <a:ext cx="858633"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baseline="0">
              <a:solidFill>
                <a:srgbClr val="00B7D2"/>
              </a:solidFill>
              <a:latin typeface="Segoe UI" panose="020B0502040204020203" pitchFamily="34" charset="0"/>
              <a:ea typeface="+mn-ea"/>
              <a:cs typeface="Segoe UI" panose="020B0502040204020203" pitchFamily="34" charset="0"/>
            </a:rPr>
            <a:t>Regions</a:t>
          </a:r>
        </a:p>
      </xdr:txBody>
    </xdr:sp>
    <xdr:clientData/>
  </xdr:oneCellAnchor>
  <xdr:oneCellAnchor>
    <xdr:from>
      <xdr:col>14</xdr:col>
      <xdr:colOff>259559</xdr:colOff>
      <xdr:row>12</xdr:row>
      <xdr:rowOff>9525</xdr:rowOff>
    </xdr:from>
    <xdr:ext cx="1361206" cy="245837"/>
    <xdr:sp macro="" textlink="">
      <xdr:nvSpPr>
        <xdr:cNvPr id="112" name="TextBox 111">
          <a:extLst>
            <a:ext uri="{FF2B5EF4-FFF2-40B4-BE49-F238E27FC236}">
              <a16:creationId xmlns:a16="http://schemas.microsoft.com/office/drawing/2014/main" id="{717E1A27-CEFB-1883-9084-83487C47D3FD}"/>
            </a:ext>
          </a:extLst>
        </xdr:cNvPr>
        <xdr:cNvSpPr txBox="1"/>
      </xdr:nvSpPr>
      <xdr:spPr>
        <a:xfrm>
          <a:off x="8760622" y="2295525"/>
          <a:ext cx="1361206"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baseline="0">
              <a:solidFill>
                <a:srgbClr val="B9C1FF"/>
              </a:solidFill>
              <a:latin typeface="Segoe UI" panose="020B0502040204020203" pitchFamily="34" charset="0"/>
              <a:cs typeface="Segoe UI" panose="020B0502040204020203" pitchFamily="34" charset="0"/>
            </a:rPr>
            <a:t>Employees per region</a:t>
          </a:r>
          <a:endParaRPr lang="en-IN" sz="900" b="1">
            <a:solidFill>
              <a:srgbClr val="B9C1FF"/>
            </a:solidFill>
            <a:latin typeface="Segoe UI" panose="020B0502040204020203" pitchFamily="34" charset="0"/>
            <a:cs typeface="Segoe UI" panose="020B0502040204020203" pitchFamily="34" charset="0"/>
          </a:endParaRPr>
        </a:p>
      </xdr:txBody>
    </xdr:sp>
    <xdr:clientData/>
  </xdr:oneCellAnchor>
  <xdr:oneCellAnchor>
    <xdr:from>
      <xdr:col>16</xdr:col>
      <xdr:colOff>483465</xdr:colOff>
      <xdr:row>13</xdr:row>
      <xdr:rowOff>116072</xdr:rowOff>
    </xdr:from>
    <xdr:ext cx="243143" cy="233205"/>
    <xdr:sp macro="" textlink="PivotTable!U17">
      <xdr:nvSpPr>
        <xdr:cNvPr id="113" name="TextBox 112">
          <a:extLst>
            <a:ext uri="{FF2B5EF4-FFF2-40B4-BE49-F238E27FC236}">
              <a16:creationId xmlns:a16="http://schemas.microsoft.com/office/drawing/2014/main" id="{525219EE-0C8B-241A-A058-9E1979C2D7BD}"/>
            </a:ext>
          </a:extLst>
        </xdr:cNvPr>
        <xdr:cNvSpPr txBox="1"/>
      </xdr:nvSpPr>
      <xdr:spPr>
        <a:xfrm>
          <a:off x="10198965" y="2592572"/>
          <a:ext cx="2431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17374C0-7088-4B96-80C3-F53BAFC43FA2}" type="TxLink">
            <a:rPr lang="en-US" sz="900" b="1" i="0" u="none" strike="noStrike">
              <a:solidFill>
                <a:schemeClr val="bg1"/>
              </a:solidFill>
              <a:latin typeface="Kulim Park"/>
              <a:ea typeface="+mn-ea"/>
              <a:cs typeface="+mn-cs"/>
            </a:rPr>
            <a:pPr marL="0" indent="0" algn="ctr"/>
            <a:t>9</a:t>
          </a:fld>
          <a:endParaRPr lang="en-IN" sz="900" b="1" i="0" u="none" strike="noStrike">
            <a:solidFill>
              <a:schemeClr val="bg1"/>
            </a:solidFill>
            <a:latin typeface="Kulim Park"/>
            <a:ea typeface="+mn-ea"/>
            <a:cs typeface="+mn-cs"/>
          </a:endParaRPr>
        </a:p>
      </xdr:txBody>
    </xdr:sp>
    <xdr:clientData/>
  </xdr:oneCellAnchor>
  <xdr:oneCellAnchor>
    <xdr:from>
      <xdr:col>16</xdr:col>
      <xdr:colOff>585192</xdr:colOff>
      <xdr:row>14</xdr:row>
      <xdr:rowOff>116072</xdr:rowOff>
    </xdr:from>
    <xdr:ext cx="301621" cy="233205"/>
    <xdr:sp macro="" textlink="PivotTable!U16">
      <xdr:nvSpPr>
        <xdr:cNvPr id="114" name="TextBox 113">
          <a:extLst>
            <a:ext uri="{FF2B5EF4-FFF2-40B4-BE49-F238E27FC236}">
              <a16:creationId xmlns:a16="http://schemas.microsoft.com/office/drawing/2014/main" id="{F8DF7DD6-4CD7-43C3-74AC-836283873289}"/>
            </a:ext>
          </a:extLst>
        </xdr:cNvPr>
        <xdr:cNvSpPr txBox="1"/>
      </xdr:nvSpPr>
      <xdr:spPr>
        <a:xfrm>
          <a:off x="10300692" y="2783072"/>
          <a:ext cx="30162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0990E496-543C-40E4-8DFA-FC6004DE1D7F}" type="TxLink">
            <a:rPr lang="en-US" sz="900" b="1" i="0" u="none" strike="noStrike">
              <a:solidFill>
                <a:schemeClr val="bg1"/>
              </a:solidFill>
              <a:latin typeface="Kulim Park"/>
              <a:ea typeface="+mn-ea"/>
              <a:cs typeface="+mn-cs"/>
            </a:rPr>
            <a:pPr marL="0" indent="0" algn="ctr"/>
            <a:t>10</a:t>
          </a:fld>
          <a:endParaRPr lang="en-IN" sz="900" b="1" i="0" u="none" strike="noStrike">
            <a:solidFill>
              <a:schemeClr val="bg1"/>
            </a:solidFill>
            <a:latin typeface="Kulim Park"/>
            <a:ea typeface="+mn-ea"/>
            <a:cs typeface="+mn-cs"/>
          </a:endParaRPr>
        </a:p>
      </xdr:txBody>
    </xdr:sp>
    <xdr:clientData/>
  </xdr:oneCellAnchor>
  <xdr:oneCellAnchor>
    <xdr:from>
      <xdr:col>16</xdr:col>
      <xdr:colOff>245340</xdr:colOff>
      <xdr:row>15</xdr:row>
      <xdr:rowOff>104166</xdr:rowOff>
    </xdr:from>
    <xdr:ext cx="243143" cy="233205"/>
    <xdr:sp macro="" textlink="PivotTable!U15">
      <xdr:nvSpPr>
        <xdr:cNvPr id="115" name="TextBox 114">
          <a:extLst>
            <a:ext uri="{FF2B5EF4-FFF2-40B4-BE49-F238E27FC236}">
              <a16:creationId xmlns:a16="http://schemas.microsoft.com/office/drawing/2014/main" id="{5196CA6B-B89B-A7F3-F12B-36D6AE5E49F7}"/>
            </a:ext>
          </a:extLst>
        </xdr:cNvPr>
        <xdr:cNvSpPr txBox="1"/>
      </xdr:nvSpPr>
      <xdr:spPr>
        <a:xfrm>
          <a:off x="9960840" y="2961666"/>
          <a:ext cx="2431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ED6057A-F763-4184-BE7E-B38B9E742428}" type="TxLink">
            <a:rPr lang="en-US" sz="900" b="1" i="0" u="none" strike="noStrike">
              <a:solidFill>
                <a:schemeClr val="bg1"/>
              </a:solidFill>
              <a:latin typeface="Kulim Park"/>
              <a:ea typeface="+mn-ea"/>
              <a:cs typeface="+mn-cs"/>
            </a:rPr>
            <a:pPr marL="0" indent="0" algn="ctr"/>
            <a:t>7</a:t>
          </a:fld>
          <a:endParaRPr lang="en-IN" sz="900" b="1" i="0" u="none" strike="noStrike">
            <a:solidFill>
              <a:schemeClr val="bg1"/>
            </a:solidFill>
            <a:latin typeface="Kulim Park"/>
            <a:ea typeface="+mn-ea"/>
            <a:cs typeface="+mn-cs"/>
          </a:endParaRPr>
        </a:p>
      </xdr:txBody>
    </xdr:sp>
    <xdr:clientData/>
  </xdr:oneCellAnchor>
  <xdr:oneCellAnchor>
    <xdr:from>
      <xdr:col>16</xdr:col>
      <xdr:colOff>585193</xdr:colOff>
      <xdr:row>16</xdr:row>
      <xdr:rowOff>68447</xdr:rowOff>
    </xdr:from>
    <xdr:ext cx="301621" cy="233205"/>
    <xdr:sp macro="" textlink="PivotTable!U14">
      <xdr:nvSpPr>
        <xdr:cNvPr id="116" name="TextBox 115">
          <a:extLst>
            <a:ext uri="{FF2B5EF4-FFF2-40B4-BE49-F238E27FC236}">
              <a16:creationId xmlns:a16="http://schemas.microsoft.com/office/drawing/2014/main" id="{339C2B22-008B-F526-D878-89A99285119E}"/>
            </a:ext>
          </a:extLst>
        </xdr:cNvPr>
        <xdr:cNvSpPr txBox="1"/>
      </xdr:nvSpPr>
      <xdr:spPr>
        <a:xfrm>
          <a:off x="10300693" y="3116447"/>
          <a:ext cx="30162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D633761-77AD-435E-A5CB-5748C557B4DD}" type="TxLink">
            <a:rPr lang="en-US" sz="900" b="1" i="0" u="none" strike="noStrike">
              <a:solidFill>
                <a:schemeClr val="bg1"/>
              </a:solidFill>
              <a:latin typeface="Kulim Park"/>
              <a:ea typeface="+mn-ea"/>
              <a:cs typeface="+mn-cs"/>
            </a:rPr>
            <a:pPr marL="0" indent="0" algn="ctr"/>
            <a:t>10</a:t>
          </a:fld>
          <a:endParaRPr lang="en-IN" sz="900" b="1" i="0" u="none" strike="noStrike">
            <a:solidFill>
              <a:schemeClr val="bg1"/>
            </a:solidFill>
            <a:latin typeface="Kulim Park"/>
            <a:ea typeface="+mn-ea"/>
            <a:cs typeface="+mn-cs"/>
          </a:endParaRPr>
        </a:p>
      </xdr:txBody>
    </xdr:sp>
    <xdr:clientData/>
  </xdr:oneCellAnchor>
  <xdr:oneCellAnchor>
    <xdr:from>
      <xdr:col>17</xdr:col>
      <xdr:colOff>454223</xdr:colOff>
      <xdr:row>17</xdr:row>
      <xdr:rowOff>80353</xdr:rowOff>
    </xdr:from>
    <xdr:ext cx="301621" cy="233205"/>
    <xdr:sp macro="" textlink="PivotTable!U13">
      <xdr:nvSpPr>
        <xdr:cNvPr id="117" name="TextBox 116">
          <a:extLst>
            <a:ext uri="{FF2B5EF4-FFF2-40B4-BE49-F238E27FC236}">
              <a16:creationId xmlns:a16="http://schemas.microsoft.com/office/drawing/2014/main" id="{AEF8F057-9D63-69EF-8B03-6BC43FA45CF7}"/>
            </a:ext>
          </a:extLst>
        </xdr:cNvPr>
        <xdr:cNvSpPr txBox="1"/>
      </xdr:nvSpPr>
      <xdr:spPr>
        <a:xfrm>
          <a:off x="10776942" y="3318853"/>
          <a:ext cx="30162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2F55DF8F-7241-4872-9C6F-8DE381B72A90}" type="TxLink">
            <a:rPr lang="en-US" sz="900" b="1" i="0" u="none" strike="noStrike">
              <a:solidFill>
                <a:schemeClr val="bg1"/>
              </a:solidFill>
              <a:latin typeface="Kulim Park"/>
              <a:ea typeface="+mn-ea"/>
              <a:cs typeface="+mn-cs"/>
            </a:rPr>
            <a:pPr marL="0" indent="0" algn="ctr"/>
            <a:t>14</a:t>
          </a:fld>
          <a:endParaRPr lang="en-IN" sz="900" b="1" i="0" u="none" strike="noStrike">
            <a:solidFill>
              <a:schemeClr val="bg1"/>
            </a:solidFill>
            <a:latin typeface="Kulim Park"/>
            <a:ea typeface="+mn-ea"/>
            <a:cs typeface="+mn-cs"/>
          </a:endParaRPr>
        </a:p>
      </xdr:txBody>
    </xdr:sp>
    <xdr:clientData/>
  </xdr:oneCellAnchor>
  <xdr:oneCellAnchor>
    <xdr:from>
      <xdr:col>14</xdr:col>
      <xdr:colOff>426242</xdr:colOff>
      <xdr:row>5</xdr:row>
      <xdr:rowOff>105911</xdr:rowOff>
    </xdr:from>
    <xdr:ext cx="704295" cy="593304"/>
    <xdr:sp macro="" textlink="PivotTable!X18">
      <xdr:nvSpPr>
        <xdr:cNvPr id="118" name="TextBox 117">
          <a:extLst>
            <a:ext uri="{FF2B5EF4-FFF2-40B4-BE49-F238E27FC236}">
              <a16:creationId xmlns:a16="http://schemas.microsoft.com/office/drawing/2014/main" id="{2241C52D-CD65-8032-14E0-9462E6758B3F}"/>
            </a:ext>
          </a:extLst>
        </xdr:cNvPr>
        <xdr:cNvSpPr txBox="1"/>
      </xdr:nvSpPr>
      <xdr:spPr>
        <a:xfrm>
          <a:off x="8927305" y="1058411"/>
          <a:ext cx="70429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11B07726-05F2-4931-B231-853C708D55AE}" type="TxLink">
            <a:rPr lang="en-US" sz="3200" b="0" i="0" u="none" strike="noStrike" baseline="0">
              <a:solidFill>
                <a:srgbClr val="FF00FF"/>
              </a:solidFill>
              <a:latin typeface="Kulim Park"/>
              <a:ea typeface="+mn-ea"/>
              <a:cs typeface="+mn-cs"/>
            </a:rPr>
            <a:pPr marL="0" indent="0" algn="ctr"/>
            <a:t>2.6</a:t>
          </a:fld>
          <a:endParaRPr lang="en-IN" sz="3200" b="0" i="0" u="none" strike="noStrike" baseline="0">
            <a:solidFill>
              <a:srgbClr val="FF00FF"/>
            </a:solidFill>
            <a:latin typeface="Kulim Park"/>
            <a:ea typeface="+mn-ea"/>
            <a:cs typeface="+mn-cs"/>
          </a:endParaRPr>
        </a:p>
      </xdr:txBody>
    </xdr:sp>
    <xdr:clientData/>
  </xdr:oneCellAnchor>
  <xdr:oneCellAnchor>
    <xdr:from>
      <xdr:col>14</xdr:col>
      <xdr:colOff>283370</xdr:colOff>
      <xdr:row>7</xdr:row>
      <xdr:rowOff>186861</xdr:rowOff>
    </xdr:from>
    <xdr:ext cx="1299779" cy="297004"/>
    <xdr:sp macro="" textlink="">
      <xdr:nvSpPr>
        <xdr:cNvPr id="119" name="TextBox 118">
          <a:extLst>
            <a:ext uri="{FF2B5EF4-FFF2-40B4-BE49-F238E27FC236}">
              <a16:creationId xmlns:a16="http://schemas.microsoft.com/office/drawing/2014/main" id="{5A00670D-BD46-7F2B-50CF-08E6AF16D88A}"/>
            </a:ext>
          </a:extLst>
        </xdr:cNvPr>
        <xdr:cNvSpPr txBox="1"/>
      </xdr:nvSpPr>
      <xdr:spPr>
        <a:xfrm>
          <a:off x="8784433" y="1520361"/>
          <a:ext cx="129977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Segoe UI" panose="020B0502040204020203" pitchFamily="34" charset="0"/>
              <a:cs typeface="Segoe UI" panose="020B0502040204020203" pitchFamily="34" charset="0"/>
            </a:rPr>
            <a:t>Average Rating</a:t>
          </a:r>
          <a:endParaRPr lang="en-IN" sz="12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14</xdr:col>
      <xdr:colOff>140498</xdr:colOff>
      <xdr:row>3</xdr:row>
      <xdr:rowOff>188122</xdr:rowOff>
    </xdr:from>
    <xdr:ext cx="1861728" cy="334259"/>
    <xdr:sp macro="" textlink="">
      <xdr:nvSpPr>
        <xdr:cNvPr id="120" name="TextBox 119">
          <a:extLst>
            <a:ext uri="{FF2B5EF4-FFF2-40B4-BE49-F238E27FC236}">
              <a16:creationId xmlns:a16="http://schemas.microsoft.com/office/drawing/2014/main" id="{CD0D8042-E602-0F0E-F1BE-5BE4359AE588}"/>
            </a:ext>
          </a:extLst>
        </xdr:cNvPr>
        <xdr:cNvSpPr txBox="1"/>
      </xdr:nvSpPr>
      <xdr:spPr>
        <a:xfrm>
          <a:off x="8641561" y="759622"/>
          <a:ext cx="1861728" cy="334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baseline="0">
              <a:solidFill>
                <a:srgbClr val="00B7D2"/>
              </a:solidFill>
              <a:latin typeface="Segoe UI" panose="020B0502040204020203" pitchFamily="34" charset="0"/>
              <a:ea typeface="+mn-ea"/>
              <a:cs typeface="Segoe UI" panose="020B0502040204020203" pitchFamily="34" charset="0"/>
            </a:rPr>
            <a:t>Performance</a:t>
          </a:r>
          <a:r>
            <a:rPr lang="en-IN" sz="1400" b="1" baseline="0">
              <a:solidFill>
                <a:srgbClr val="00B7D2"/>
              </a:solidFill>
              <a:latin typeface="Kulim Park"/>
              <a:ea typeface="+mn-ea"/>
              <a:cs typeface="+mn-cs"/>
            </a:rPr>
            <a:t> </a:t>
          </a:r>
          <a:r>
            <a:rPr lang="en-IN" sz="1400" b="1" baseline="0">
              <a:solidFill>
                <a:srgbClr val="00B7D2"/>
              </a:solidFill>
              <a:latin typeface="Segoe UI" panose="020B0502040204020203" pitchFamily="34" charset="0"/>
              <a:ea typeface="+mn-ea"/>
              <a:cs typeface="Segoe UI" panose="020B0502040204020203" pitchFamily="34" charset="0"/>
            </a:rPr>
            <a:t>Rating</a:t>
          </a:r>
        </a:p>
      </xdr:txBody>
    </xdr:sp>
    <xdr:clientData/>
  </xdr:oneCellAnchor>
  <xdr:oneCellAnchor>
    <xdr:from>
      <xdr:col>14</xdr:col>
      <xdr:colOff>176216</xdr:colOff>
      <xdr:row>5</xdr:row>
      <xdr:rowOff>19474</xdr:rowOff>
    </xdr:from>
    <xdr:ext cx="1719702" cy="245837"/>
    <xdr:sp macro="" textlink="">
      <xdr:nvSpPr>
        <xdr:cNvPr id="121" name="TextBox 120">
          <a:extLst>
            <a:ext uri="{FF2B5EF4-FFF2-40B4-BE49-F238E27FC236}">
              <a16:creationId xmlns:a16="http://schemas.microsoft.com/office/drawing/2014/main" id="{B3BBE256-58F4-30FF-E4B1-2EB1728C8301}"/>
            </a:ext>
          </a:extLst>
        </xdr:cNvPr>
        <xdr:cNvSpPr txBox="1"/>
      </xdr:nvSpPr>
      <xdr:spPr>
        <a:xfrm>
          <a:off x="8677279" y="971974"/>
          <a:ext cx="1719702"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baseline="0">
              <a:solidFill>
                <a:srgbClr val="B9C1FF"/>
              </a:solidFill>
              <a:latin typeface="Segoe UI" panose="020B0502040204020203" pitchFamily="34" charset="0"/>
              <a:cs typeface="Segoe UI" panose="020B0502040204020203" pitchFamily="34" charset="0"/>
            </a:rPr>
            <a:t>Average performance </a:t>
          </a:r>
          <a:r>
            <a:rPr lang="en-IN" sz="900" b="1" baseline="0">
              <a:solidFill>
                <a:srgbClr val="B9C1FF"/>
              </a:solidFill>
              <a:latin typeface="Segoe UI" panose="020B0502040204020203" pitchFamily="34" charset="0"/>
              <a:ea typeface="+mn-ea"/>
              <a:cs typeface="Segoe UI" panose="020B0502040204020203" pitchFamily="34" charset="0"/>
            </a:rPr>
            <a:t>rating</a:t>
          </a:r>
        </a:p>
      </xdr:txBody>
    </xdr:sp>
    <xdr:clientData/>
  </xdr:oneCellAnchor>
  <xdr:oneCellAnchor>
    <xdr:from>
      <xdr:col>2</xdr:col>
      <xdr:colOff>526257</xdr:colOff>
      <xdr:row>2</xdr:row>
      <xdr:rowOff>71454</xdr:rowOff>
    </xdr:from>
    <xdr:ext cx="1362809" cy="808811"/>
    <xdr:sp macro="" textlink="">
      <xdr:nvSpPr>
        <xdr:cNvPr id="122" name="TextBox 121">
          <a:extLst>
            <a:ext uri="{FF2B5EF4-FFF2-40B4-BE49-F238E27FC236}">
              <a16:creationId xmlns:a16="http://schemas.microsoft.com/office/drawing/2014/main" id="{FDF62A65-264F-4283-B7CC-E435257D514E}"/>
            </a:ext>
          </a:extLst>
        </xdr:cNvPr>
        <xdr:cNvSpPr txBox="1"/>
      </xdr:nvSpPr>
      <xdr:spPr>
        <a:xfrm>
          <a:off x="1740695" y="452454"/>
          <a:ext cx="1362809" cy="808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2400" b="1" baseline="0">
              <a:solidFill>
                <a:srgbClr val="00B7D2"/>
              </a:solidFill>
              <a:latin typeface="Segoe UI" panose="020B0502040204020203" pitchFamily="34" charset="0"/>
              <a:cs typeface="Segoe UI" panose="020B0502040204020203" pitchFamily="34" charset="0"/>
            </a:rPr>
            <a:t>HR</a:t>
          </a:r>
          <a:br>
            <a:rPr lang="en-IN" sz="1800" b="1" baseline="0">
              <a:solidFill>
                <a:srgbClr val="00B7D2"/>
              </a:solidFill>
              <a:latin typeface="Segoe UI" panose="020B0502040204020203" pitchFamily="34" charset="0"/>
              <a:cs typeface="Segoe UI" panose="020B0502040204020203" pitchFamily="34" charset="0"/>
            </a:rPr>
          </a:br>
          <a:r>
            <a:rPr lang="en-IN" sz="1800" b="1" baseline="0">
              <a:solidFill>
                <a:srgbClr val="00B7D2"/>
              </a:solidFill>
              <a:latin typeface="Segoe UI" panose="020B0502040204020203" pitchFamily="34" charset="0"/>
              <a:cs typeface="Segoe UI" panose="020B0502040204020203" pitchFamily="34" charset="0"/>
            </a:rPr>
            <a:t>Dashboard</a:t>
          </a:r>
          <a:endParaRPr lang="en-IN" sz="18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2</xdr:col>
      <xdr:colOff>519115</xdr:colOff>
      <xdr:row>6</xdr:row>
      <xdr:rowOff>7140</xdr:rowOff>
    </xdr:from>
    <xdr:ext cx="2763449" cy="271421"/>
    <xdr:sp macro="" textlink="">
      <xdr:nvSpPr>
        <xdr:cNvPr id="123" name="TextBox 122">
          <a:extLst>
            <a:ext uri="{FF2B5EF4-FFF2-40B4-BE49-F238E27FC236}">
              <a16:creationId xmlns:a16="http://schemas.microsoft.com/office/drawing/2014/main" id="{D8972C6C-FEDA-E657-AD37-60C7A7EB5D65}"/>
            </a:ext>
          </a:extLst>
        </xdr:cNvPr>
        <xdr:cNvSpPr txBox="1"/>
      </xdr:nvSpPr>
      <xdr:spPr>
        <a:xfrm>
          <a:off x="1733553" y="1150140"/>
          <a:ext cx="2763449"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baseline="0">
              <a:solidFill>
                <a:srgbClr val="B9C1FF"/>
              </a:solidFill>
              <a:latin typeface="Segoe UI" panose="020B0502040204020203" pitchFamily="34" charset="0"/>
              <a:cs typeface="Segoe UI" panose="020B0502040204020203" pitchFamily="34" charset="0"/>
            </a:rPr>
            <a:t>Analyze and monitor the HR department</a:t>
          </a:r>
          <a:endParaRPr lang="en-IN" sz="1050" b="1">
            <a:solidFill>
              <a:srgbClr val="B9C1FF"/>
            </a:solidFill>
            <a:latin typeface="Segoe UI" panose="020B0502040204020203" pitchFamily="34" charset="0"/>
            <a:cs typeface="Segoe UI" panose="020B0502040204020203" pitchFamily="34" charset="0"/>
          </a:endParaRPr>
        </a:p>
      </xdr:txBody>
    </xdr:sp>
    <xdr:clientData/>
  </xdr:oneCellAnchor>
  <xdr:twoCellAnchor editAs="oneCell">
    <xdr:from>
      <xdr:col>6</xdr:col>
      <xdr:colOff>345280</xdr:colOff>
      <xdr:row>3</xdr:row>
      <xdr:rowOff>142875</xdr:rowOff>
    </xdr:from>
    <xdr:to>
      <xdr:col>9</xdr:col>
      <xdr:colOff>583407</xdr:colOff>
      <xdr:row>6</xdr:row>
      <xdr:rowOff>3375</xdr:rowOff>
    </xdr:to>
    <mc:AlternateContent xmlns:mc="http://schemas.openxmlformats.org/markup-compatibility/2006" xmlns:a14="http://schemas.microsoft.com/office/drawing/2010/main">
      <mc:Choice Requires="a14">
        <xdr:graphicFrame macro="">
          <xdr:nvGraphicFramePr>
            <xdr:cNvPr id="124" name="Gender">
              <a:extLst>
                <a:ext uri="{FF2B5EF4-FFF2-40B4-BE49-F238E27FC236}">
                  <a16:creationId xmlns:a16="http://schemas.microsoft.com/office/drawing/2014/main" id="{8707B01E-97E3-4B46-AC5E-B1EF30673C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88593" y="714375"/>
              <a:ext cx="2059783"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71441</xdr:colOff>
      <xdr:row>3</xdr:row>
      <xdr:rowOff>95254</xdr:rowOff>
    </xdr:from>
    <xdr:to>
      <xdr:col>13</xdr:col>
      <xdr:colOff>440535</xdr:colOff>
      <xdr:row>7</xdr:row>
      <xdr:rowOff>53254</xdr:rowOff>
    </xdr:to>
    <mc:AlternateContent xmlns:mc="http://schemas.openxmlformats.org/markup-compatibility/2006" xmlns:a14="http://schemas.microsoft.com/office/drawing/2010/main">
      <mc:Choice Requires="a14">
        <xdr:graphicFrame macro="">
          <xdr:nvGraphicFramePr>
            <xdr:cNvPr id="125" name="Department">
              <a:extLst>
                <a:ext uri="{FF2B5EF4-FFF2-40B4-BE49-F238E27FC236}">
                  <a16:creationId xmlns:a16="http://schemas.microsoft.com/office/drawing/2014/main" id="{B9B07BE4-D034-42E0-924F-C8E731A00C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143629" y="666754"/>
              <a:ext cx="219075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361953</xdr:colOff>
      <xdr:row>2</xdr:row>
      <xdr:rowOff>55895</xdr:rowOff>
    </xdr:from>
    <xdr:ext cx="1345048" cy="297004"/>
    <xdr:sp macro="" textlink="">
      <xdr:nvSpPr>
        <xdr:cNvPr id="126" name="TextBox 125">
          <a:extLst>
            <a:ext uri="{FF2B5EF4-FFF2-40B4-BE49-F238E27FC236}">
              <a16:creationId xmlns:a16="http://schemas.microsoft.com/office/drawing/2014/main" id="{831E9A5B-9BE3-4CF3-DA74-84DBF01F9718}"/>
            </a:ext>
          </a:extLst>
        </xdr:cNvPr>
        <xdr:cNvSpPr txBox="1"/>
      </xdr:nvSpPr>
      <xdr:spPr>
        <a:xfrm>
          <a:off x="4005266" y="436895"/>
          <a:ext cx="134504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rgbClr val="00B7D2"/>
              </a:solidFill>
              <a:latin typeface="Segoe UI" panose="020B0502040204020203" pitchFamily="34" charset="0"/>
              <a:cs typeface="Segoe UI" panose="020B0502040204020203" pitchFamily="34" charset="0"/>
            </a:rPr>
            <a:t>Filter by Gender</a:t>
          </a:r>
          <a:endParaRPr lang="en-IN" sz="1200" b="1">
            <a:solidFill>
              <a:srgbClr val="00B7D2"/>
            </a:solidFill>
            <a:latin typeface="Segoe UI" panose="020B0502040204020203" pitchFamily="34" charset="0"/>
            <a:cs typeface="Segoe UI" panose="020B0502040204020203" pitchFamily="34" charset="0"/>
          </a:endParaRPr>
        </a:p>
      </xdr:txBody>
    </xdr:sp>
    <xdr:clientData/>
  </xdr:oneCellAnchor>
  <xdr:oneCellAnchor>
    <xdr:from>
      <xdr:col>10</xdr:col>
      <xdr:colOff>147638</xdr:colOff>
      <xdr:row>2</xdr:row>
      <xdr:rowOff>43988</xdr:rowOff>
    </xdr:from>
    <xdr:ext cx="1692771" cy="297004"/>
    <xdr:sp macro="" textlink="">
      <xdr:nvSpPr>
        <xdr:cNvPr id="127" name="TextBox 126">
          <a:extLst>
            <a:ext uri="{FF2B5EF4-FFF2-40B4-BE49-F238E27FC236}">
              <a16:creationId xmlns:a16="http://schemas.microsoft.com/office/drawing/2014/main" id="{76762EAD-089D-EF4A-CE70-160EBD70356A}"/>
            </a:ext>
          </a:extLst>
        </xdr:cNvPr>
        <xdr:cNvSpPr txBox="1"/>
      </xdr:nvSpPr>
      <xdr:spPr>
        <a:xfrm>
          <a:off x="6219826" y="424988"/>
          <a:ext cx="169277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l"/>
          <a:r>
            <a:rPr lang="en-IN" sz="1200" b="1" baseline="0">
              <a:solidFill>
                <a:srgbClr val="00B7D2"/>
              </a:solidFill>
              <a:latin typeface="Segoe UI" panose="020B0502040204020203" pitchFamily="34" charset="0"/>
              <a:ea typeface="+mn-ea"/>
              <a:cs typeface="Segoe UI" panose="020B0502040204020203" pitchFamily="34" charset="0"/>
            </a:rPr>
            <a:t>Filter by Department</a:t>
          </a:r>
        </a:p>
      </xdr:txBody>
    </xdr:sp>
    <xdr:clientData/>
  </xdr:oneCellAnchor>
  <xdr:twoCellAnchor editAs="oneCell">
    <xdr:from>
      <xdr:col>2</xdr:col>
      <xdr:colOff>297655</xdr:colOff>
      <xdr:row>7</xdr:row>
      <xdr:rowOff>107157</xdr:rowOff>
    </xdr:from>
    <xdr:to>
      <xdr:col>4</xdr:col>
      <xdr:colOff>47623</xdr:colOff>
      <xdr:row>12</xdr:row>
      <xdr:rowOff>119062</xdr:rowOff>
    </xdr:to>
    <xdr:pic>
      <xdr:nvPicPr>
        <xdr:cNvPr id="109" name="Picture 108">
          <a:extLst>
            <a:ext uri="{FF2B5EF4-FFF2-40B4-BE49-F238E27FC236}">
              <a16:creationId xmlns:a16="http://schemas.microsoft.com/office/drawing/2014/main" id="{840FFC57-0A1C-7C21-BDF5-085A04927152}"/>
            </a:ext>
          </a:extLst>
        </xdr:cNvPr>
        <xdr:cNvPicPr>
          <a:picLocks noChangeAspect="1"/>
        </xdr:cNvPicPr>
      </xdr:nvPicPr>
      <xdr:blipFill>
        <a:blip xmlns:r="http://schemas.openxmlformats.org/officeDocument/2006/relationships" r:embed="rId10"/>
        <a:stretch>
          <a:fillRect/>
        </a:stretch>
      </xdr:blipFill>
      <xdr:spPr>
        <a:xfrm>
          <a:off x="1512093" y="1440657"/>
          <a:ext cx="964405" cy="964405"/>
        </a:xfrm>
        <a:prstGeom prst="rect">
          <a:avLst/>
        </a:prstGeom>
      </xdr:spPr>
    </xdr:pic>
    <xdr:clientData/>
  </xdr:twoCellAnchor>
  <xdr:twoCellAnchor editAs="oneCell">
    <xdr:from>
      <xdr:col>7</xdr:col>
      <xdr:colOff>547688</xdr:colOff>
      <xdr:row>8</xdr:row>
      <xdr:rowOff>59531</xdr:rowOff>
    </xdr:from>
    <xdr:to>
      <xdr:col>9</xdr:col>
      <xdr:colOff>178594</xdr:colOff>
      <xdr:row>12</xdr:row>
      <xdr:rowOff>142875</xdr:rowOff>
    </xdr:to>
    <xdr:pic>
      <xdr:nvPicPr>
        <xdr:cNvPr id="128" name="Picture 127">
          <a:extLst>
            <a:ext uri="{FF2B5EF4-FFF2-40B4-BE49-F238E27FC236}">
              <a16:creationId xmlns:a16="http://schemas.microsoft.com/office/drawing/2014/main" id="{7929550D-2EC3-6477-FDE8-2E0FC0CF3801}"/>
            </a:ext>
          </a:extLst>
        </xdr:cNvPr>
        <xdr:cNvPicPr>
          <a:picLocks noChangeAspect="1"/>
        </xdr:cNvPicPr>
      </xdr:nvPicPr>
      <xdr:blipFill>
        <a:blip xmlns:r="http://schemas.openxmlformats.org/officeDocument/2006/relationships" r:embed="rId11"/>
        <a:stretch>
          <a:fillRect/>
        </a:stretch>
      </xdr:blipFill>
      <xdr:spPr>
        <a:xfrm>
          <a:off x="4798219" y="1583531"/>
          <a:ext cx="845344" cy="845344"/>
        </a:xfrm>
        <a:prstGeom prst="rect">
          <a:avLst/>
        </a:prstGeom>
      </xdr:spPr>
    </xdr:pic>
    <xdr:clientData/>
  </xdr:twoCellAnchor>
  <xdr:twoCellAnchor editAs="oneCell">
    <xdr:from>
      <xdr:col>1</xdr:col>
      <xdr:colOff>428624</xdr:colOff>
      <xdr:row>2</xdr:row>
      <xdr:rowOff>178594</xdr:rowOff>
    </xdr:from>
    <xdr:to>
      <xdr:col>2</xdr:col>
      <xdr:colOff>464342</xdr:colOff>
      <xdr:row>7</xdr:row>
      <xdr:rowOff>11906</xdr:rowOff>
    </xdr:to>
    <xdr:pic>
      <xdr:nvPicPr>
        <xdr:cNvPr id="129" name="Picture 128">
          <a:extLst>
            <a:ext uri="{FF2B5EF4-FFF2-40B4-BE49-F238E27FC236}">
              <a16:creationId xmlns:a16="http://schemas.microsoft.com/office/drawing/2014/main" id="{4E96BC1C-A8C0-D276-9270-996BC1C81327}"/>
            </a:ext>
          </a:extLst>
        </xdr:cNvPr>
        <xdr:cNvPicPr>
          <a:picLocks noChangeAspect="1"/>
        </xdr:cNvPicPr>
      </xdr:nvPicPr>
      <xdr:blipFill>
        <a:blip xmlns:r="http://schemas.openxmlformats.org/officeDocument/2006/relationships" r:embed="rId12"/>
        <a:stretch>
          <a:fillRect/>
        </a:stretch>
      </xdr:blipFill>
      <xdr:spPr>
        <a:xfrm>
          <a:off x="1035843" y="559594"/>
          <a:ext cx="642937" cy="785812"/>
        </a:xfrm>
        <a:prstGeom prst="rect">
          <a:avLst/>
        </a:prstGeom>
      </xdr:spPr>
    </xdr:pic>
    <xdr:clientData/>
  </xdr:twoCellAnchor>
  <xdr:twoCellAnchor editAs="oneCell">
    <xdr:from>
      <xdr:col>16</xdr:col>
      <xdr:colOff>571500</xdr:colOff>
      <xdr:row>5</xdr:row>
      <xdr:rowOff>11906</xdr:rowOff>
    </xdr:from>
    <xdr:to>
      <xdr:col>18</xdr:col>
      <xdr:colOff>190500</xdr:colOff>
      <xdr:row>9</xdr:row>
      <xdr:rowOff>83344</xdr:rowOff>
    </xdr:to>
    <xdr:pic>
      <xdr:nvPicPr>
        <xdr:cNvPr id="130" name="Picture 129">
          <a:extLst>
            <a:ext uri="{FF2B5EF4-FFF2-40B4-BE49-F238E27FC236}">
              <a16:creationId xmlns:a16="http://schemas.microsoft.com/office/drawing/2014/main" id="{4D7ACDE4-E4D4-9F89-6A99-9B581F7D9DD8}"/>
            </a:ext>
          </a:extLst>
        </xdr:cNvPr>
        <xdr:cNvPicPr>
          <a:picLocks noChangeAspect="1"/>
        </xdr:cNvPicPr>
      </xdr:nvPicPr>
      <xdr:blipFill>
        <a:blip xmlns:r="http://schemas.openxmlformats.org/officeDocument/2006/relationships" r:embed="rId13"/>
        <a:stretch>
          <a:fillRect/>
        </a:stretch>
      </xdr:blipFill>
      <xdr:spPr>
        <a:xfrm>
          <a:off x="10287000" y="964406"/>
          <a:ext cx="833438" cy="8334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3.565841782409" createdVersion="8" refreshedVersion="8" minRefreshableVersion="3" recordCount="50" xr:uid="{B2F15EDC-0843-4418-B993-02BBD6BEFDAF}">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596576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A7A1F-7C3C-4814-A7A7-D656659A1D96}"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4:U10" firstHeaderRow="1" firstDataRow="1" firstDataCol="1"/>
  <pivotFields count="21">
    <pivotField showAll="0"/>
    <pivotField dataField="1" showAll="0"/>
    <pivotField showAll="0"/>
    <pivotField showAll="0"/>
    <pivotField showAll="0"/>
    <pivotField axis="axisRow"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6">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78A24-BBB6-4E5F-BA22-8C4D2FDB0992}" name="employmwnt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57">
      <pivotArea type="all" dataOnly="0" outline="0" fieldPosition="0"/>
    </format>
    <format dxfId="56">
      <pivotArea outline="0" collapsedLevelsAreSubtotals="1" fieldPosition="0"/>
    </format>
    <format dxfId="55">
      <pivotArea field="10" type="button" dataOnly="0" labelOnly="1" outline="0" axis="axisRow" fieldPosition="0"/>
    </format>
    <format dxfId="54">
      <pivotArea dataOnly="0" labelOnly="1" fieldPosition="0">
        <references count="1">
          <reference field="10"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568A27-F7FE-4A8B-8420-C4A5F20C6BBD}"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0"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50">
      <pivotArea type="all" dataOnly="0" outline="0" fieldPosition="0"/>
    </format>
    <format dxfId="49">
      <pivotArea outline="0" collapsedLevelsAreSubtotals="1" fieldPosition="0"/>
    </format>
    <format dxfId="48">
      <pivotArea field="19" type="button" dataOnly="0" labelOnly="1" outline="0" axis="axisRow" fieldPosition="0"/>
    </format>
    <format dxfId="47">
      <pivotArea dataOnly="0" labelOnly="1" fieldPosition="0">
        <references count="1">
          <reference field="19"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031E1A-EDD3-4D67-BA39-66EC7C3C249D}"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43">
      <pivotArea type="all" dataOnly="0" outline="0" fieldPosition="0"/>
    </format>
    <format dxfId="32">
      <pivotArea outline="0" collapsedLevelsAreSubtotals="1" fieldPosition="0"/>
    </format>
    <format dxfId="31">
      <pivotArea type="origin" dataOnly="0" labelOnly="1" outline="0" fieldPosition="0"/>
    </format>
    <format dxfId="30">
      <pivotArea field="2" type="button" dataOnly="0" labelOnly="1" outline="0" axis="axisCol" fieldPosition="0"/>
    </format>
    <format dxfId="29">
      <pivotArea type="topRight" dataOnly="0" labelOnly="1" outline="0"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fieldPosition="0">
        <references count="1">
          <reference field="2" count="0"/>
        </references>
      </pivotArea>
    </format>
    <format dxfId="24">
      <pivotArea dataOnly="0" labelOnly="1" grandCol="1" outline="0" fieldPosition="0"/>
    </format>
  </format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60B03B-F920-44D9-9DE9-48C2EC8F86A0}"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9">
    <format dxfId="65">
      <pivotArea type="all" dataOnly="0" outline="0" fieldPosition="0"/>
    </format>
    <format dxfId="66">
      <pivotArea dataOnly="0" labelOnly="1" outline="0" axis="axisValues" fieldPosition="0"/>
    </format>
    <format dxfId="67">
      <pivotArea collapsedLevelsAreSubtotals="1" fieldPosition="0">
        <references count="1">
          <reference field="6" count="0"/>
        </references>
      </pivotArea>
    </format>
    <format dxfId="23">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A87C66-F8E7-4310-9F10-A9FC96088596}" name="work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13">
      <pivotArea type="all" dataOnly="0" outline="0" fieldPosition="0"/>
    </format>
    <format dxfId="12">
      <pivotArea outline="0" collapsedLevelsAreSubtotals="1" fieldPosition="0"/>
    </format>
    <format dxfId="11">
      <pivotArea field="11" type="button" dataOnly="0" labelOnly="1" outline="0" axis="axisRow" fieldPosition="0"/>
    </format>
    <format dxfId="10">
      <pivotArea dataOnly="0" labelOnly="1" fieldPosition="0">
        <references count="1">
          <reference field="11" count="0"/>
        </references>
      </pivotArea>
    </format>
    <format dxfId="9">
      <pivotArea dataOnly="0" labelOnly="1" grandRow="1" outline="0"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33BE35-4D5F-4D58-814B-E43C63EAF289}" name="depar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10" firstHeaderRow="1" firstDataRow="1" firstDataCol="1"/>
  <pivotFields count="21">
    <pivotField showAll="0"/>
    <pivotField showAll="0"/>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3"/>
  </dataFields>
  <formats count="7">
    <format dxfId="68">
      <pivotArea collapsedLevelsAreSubtotals="1" fieldPosition="0">
        <references count="1">
          <reference field="7" count="0"/>
        </references>
      </pivotArea>
    </format>
    <format dxfId="6">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B9FB94-FE58-4D23-AFE2-4D145DB9E86C}" sourceName="Gender">
  <pivotTables>
    <pivotTable tabId="3" name="salaries"/>
  </pivotTables>
  <data>
    <tabular pivotCacheId="15965762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28172B-CCFE-4945-9561-E767D0BE406B}" sourceName="Department">
  <pivotTables>
    <pivotTable tabId="3" name="salaries"/>
  </pivotTables>
  <data>
    <tabular pivotCacheId="1596576256">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F54798-80C7-4627-8313-79A15C71F7F3}" cache="Slicer_Gender" caption="Gender" columnCount="2" showCaption="0" style="Slicer Style 2" rowHeight="257175"/>
  <slicer name="Department" xr10:uid="{2F2D9C56-ABCC-4FC0-9187-E3D035C26662}" cache="Slicer_Department" caption="Department" columnCount="3" showCaption="0"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91" dataDxfId="90">
  <autoFilter ref="A1:U51" xr:uid="{BD7F130C-4931-4EC9-8AE2-A64F6556D3A3}"/>
  <tableColumns count="21">
    <tableColumn id="1" xr3:uid="{6BDBB43D-1DF4-4FF3-9C56-0E3D699A83FC}" name="Employee ID" dataDxfId="89"/>
    <tableColumn id="2" xr3:uid="{363D91B7-21AD-4B4B-86DE-95D24769EAA5}" name="Full Name" dataDxfId="88"/>
    <tableColumn id="3" xr3:uid="{728245EC-9766-45F5-9851-7FEFEFBE2652}" name="Gender" dataDxfId="87"/>
    <tableColumn id="4" xr3:uid="{DD8A90D1-163F-4B0E-A039-9E7A16AFC106}" name="Age" dataDxfId="86"/>
    <tableColumn id="5" xr3:uid="{0672993B-A00D-49AE-84B7-674089468A17}" name="Age range" dataDxfId="85"/>
    <tableColumn id="6" xr3:uid="{B1ADEE80-60F1-4EE3-B3FB-8484EE6C17B3}" name="Region" dataDxfId="84"/>
    <tableColumn id="7" xr3:uid="{8E0A56EE-3456-4513-ADA0-27F6CAA8C17B}" name="Job Title" dataDxfId="83"/>
    <tableColumn id="8" xr3:uid="{0D9D5DB9-01CB-4300-B0CD-256901621ADC}" name="Department" dataDxfId="82"/>
    <tableColumn id="9" xr3:uid="{9EBDAC3F-6A39-4A78-B562-848691EE3AD1}" name="Manager/Supervisor" dataDxfId="81"/>
    <tableColumn id="10" xr3:uid="{AF849F24-150A-4123-B3F8-A46B4D4F7BC6}" name="Date of Hire" dataDxfId="80"/>
    <tableColumn id="11" xr3:uid="{8C57202E-334A-462A-9C44-E5E2468122E4}" name="Employment Status" dataDxfId="79"/>
    <tableColumn id="12" xr3:uid="{8A07812C-245C-4D55-A210-3AE7E0BB84EB}" name="Work Location" dataDxfId="78"/>
    <tableColumn id="13" xr3:uid="{6441036C-01DD-4130-8E4B-DBA441BCB744}" name="Salary" dataDxfId="77"/>
    <tableColumn id="14" xr3:uid="{ADCF531A-A98E-422C-939D-04D58C2423FB}" name="Pay Grade" dataDxfId="76"/>
    <tableColumn id="15" xr3:uid="{DE922695-AE31-4F31-8F89-61E6E7E646AB}" name="Bonus/Allowances" dataDxfId="75"/>
    <tableColumn id="16" xr3:uid="{62F2B816-9954-4A01-AEDC-4C13B3A2A52F}" name="Insurance Details" dataDxfId="74"/>
    <tableColumn id="17" xr3:uid="{6EFEC335-9B75-45D5-B403-A8A9E557BE24}" name="Leave Taken" dataDxfId="73"/>
    <tableColumn id="18" xr3:uid="{9DA1B78E-154E-42E4-A1BC-FE1CF363DCBA}" name="Performance Rating" dataDxfId="72"/>
    <tableColumn id="19" xr3:uid="{7E4B5E79-5639-4E3A-91A1-D1D8767BB705}" name="Training Programs Attended" dataDxfId="71"/>
    <tableColumn id="20" xr3:uid="{2E731344-8C6D-4001-9E36-F16B80500F61}" name="Skills" dataDxfId="70"/>
    <tableColumn id="21" xr3:uid="{9DCE550B-F788-4423-B330-CAB70C041DFC}" name="Certifications" dataDxfId="6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4AD4-0D52-433D-983E-91ACA68328CC}">
  <dimension ref="A1"/>
  <sheetViews>
    <sheetView showGridLines="0" showRowColHeaders="0" tabSelected="1" zoomScale="80" zoomScaleNormal="80" workbookViewId="0">
      <selection activeCell="Z23" sqref="Z23"/>
    </sheetView>
  </sheetViews>
  <sheetFormatPr defaultRowHeight="1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E8" sqref="E8"/>
    </sheetView>
  </sheetViews>
  <sheetFormatPr defaultRowHeight="14.25"/>
  <cols>
    <col min="1" max="1" width="17.7109375" style="2" bestFit="1" customWidth="1"/>
    <col min="2" max="2" width="18.140625" style="2" bestFit="1" customWidth="1"/>
    <col min="3" max="3" width="12.85546875" style="2" bestFit="1" customWidth="1"/>
    <col min="4" max="4" width="9.5703125" style="2" bestFit="1" customWidth="1"/>
    <col min="5" max="5" width="15.85546875" style="2" bestFit="1" customWidth="1"/>
    <col min="6" max="6" width="12.28515625" style="2" bestFit="1" customWidth="1"/>
    <col min="7" max="7" width="14.140625" style="2" bestFit="1" customWidth="1"/>
    <col min="8" max="8" width="17.42578125" style="2" bestFit="1" customWidth="1"/>
    <col min="9" max="9" width="25.7109375" style="2" bestFit="1" customWidth="1"/>
    <col min="10" max="10" width="18" style="2" bestFit="1" customWidth="1"/>
    <col min="11" max="11" width="25" style="2" bestFit="1" customWidth="1"/>
    <col min="12" max="12" width="20.28515625" style="2" bestFit="1" customWidth="1"/>
    <col min="13" max="13" width="11.85546875" style="2" bestFit="1" customWidth="1"/>
    <col min="14" max="14" width="16.140625" style="2" bestFit="1" customWidth="1"/>
    <col min="15" max="15" width="24" style="2" bestFit="1" customWidth="1"/>
    <col min="16" max="16" width="22.7109375" style="2" bestFit="1" customWidth="1"/>
    <col min="17" max="17" width="18.140625" style="2" bestFit="1" customWidth="1"/>
    <col min="18" max="18" width="25.42578125" style="2" bestFit="1" customWidth="1"/>
    <col min="19" max="19" width="34" style="2" bestFit="1" customWidth="1"/>
    <col min="20" max="20" width="16" style="2" bestFit="1" customWidth="1"/>
    <col min="21" max="21" width="21.140625" style="2" bestFit="1" customWidth="1"/>
    <col min="22" max="16384" width="9.1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B97C-0BCC-47A8-884F-624DE7606456}">
  <sheetPr>
    <pageSetUpPr autoPageBreaks="0"/>
  </sheetPr>
  <dimension ref="B1:X24"/>
  <sheetViews>
    <sheetView zoomScaleNormal="100" workbookViewId="0">
      <selection activeCell="C12" sqref="C12"/>
    </sheetView>
  </sheetViews>
  <sheetFormatPr defaultRowHeight="16.5"/>
  <cols>
    <col min="1" max="1" width="4.28515625" style="5" customWidth="1"/>
    <col min="2" max="2" width="13.140625" style="5" bestFit="1" customWidth="1"/>
    <col min="3" max="3" width="21" style="5" bestFit="1" customWidth="1"/>
    <col min="4" max="4" width="4.7109375" style="5" customWidth="1"/>
    <col min="5" max="5" width="13.5703125" style="5" bestFit="1" customWidth="1"/>
    <col min="6" max="6" width="15.140625" style="5" bestFit="1" customWidth="1"/>
    <col min="7" max="7" width="21.7109375" style="5" bestFit="1" customWidth="1"/>
    <col min="8" max="8" width="5.85546875" style="5" customWidth="1"/>
    <col min="9" max="9" width="21" style="5" bestFit="1" customWidth="1"/>
    <col min="10" max="10" width="16" style="5" bestFit="1" customWidth="1"/>
    <col min="11" max="11" width="6.140625" style="5" bestFit="1" customWidth="1"/>
    <col min="12" max="12" width="13.140625" style="5" bestFit="1" customWidth="1"/>
    <col min="13" max="13" width="4" style="5" customWidth="1"/>
    <col min="14" max="14" width="13.85546875" style="5" bestFit="1" customWidth="1"/>
    <col min="15" max="15" width="21" style="5" bestFit="1" customWidth="1"/>
    <col min="16" max="16" width="5" style="5" customWidth="1"/>
    <col min="17" max="17" width="16.140625" style="5" bestFit="1" customWidth="1"/>
    <col min="18" max="18" width="21" style="5" bestFit="1" customWidth="1"/>
    <col min="19" max="19" width="5" style="5" customWidth="1"/>
    <col min="20" max="20" width="14.85546875" style="5" bestFit="1" customWidth="1"/>
    <col min="21" max="21" width="21" style="5" bestFit="1" customWidth="1"/>
    <col min="22" max="22" width="6.28515625" style="5" customWidth="1"/>
    <col min="23" max="23" width="13.140625" style="5" bestFit="1" customWidth="1"/>
    <col min="24" max="24" width="33.5703125" style="5" bestFit="1" customWidth="1"/>
    <col min="25" max="25" width="26" style="5" bestFit="1" customWidth="1"/>
    <col min="26" max="16384" width="9.140625" style="5"/>
  </cols>
  <sheetData>
    <row r="1" spans="2:24" ht="9.75" customHeight="1"/>
    <row r="2" spans="2:24" ht="20.25" customHeight="1">
      <c r="B2" s="6" t="s">
        <v>217</v>
      </c>
      <c r="C2" s="6"/>
      <c r="E2" s="6" t="s">
        <v>220</v>
      </c>
      <c r="F2" s="6"/>
      <c r="G2" s="6"/>
      <c r="I2" s="6" t="s">
        <v>222</v>
      </c>
      <c r="J2" s="6"/>
      <c r="K2" s="6"/>
      <c r="L2" s="6"/>
      <c r="N2" s="6" t="s">
        <v>223</v>
      </c>
      <c r="O2" s="6"/>
      <c r="Q2" s="6" t="s">
        <v>19</v>
      </c>
      <c r="R2" s="6"/>
      <c r="T2" s="6" t="s">
        <v>225</v>
      </c>
      <c r="U2" s="6"/>
      <c r="W2" s="6" t="s">
        <v>226</v>
      </c>
      <c r="X2" s="6"/>
    </row>
    <row r="4" spans="2:24">
      <c r="B4" s="7" t="s">
        <v>214</v>
      </c>
      <c r="C4" s="5" t="s">
        <v>216</v>
      </c>
      <c r="E4" s="7" t="s">
        <v>214</v>
      </c>
      <c r="F4" s="5" t="s">
        <v>219</v>
      </c>
      <c r="G4" s="5" t="s">
        <v>224</v>
      </c>
      <c r="I4" s="7" t="s">
        <v>216</v>
      </c>
      <c r="J4" s="7" t="s">
        <v>221</v>
      </c>
      <c r="N4" s="7" t="s">
        <v>214</v>
      </c>
      <c r="O4" s="5" t="s">
        <v>216</v>
      </c>
      <c r="Q4" s="7" t="s">
        <v>214</v>
      </c>
      <c r="R4" s="5" t="s">
        <v>216</v>
      </c>
      <c r="T4" s="7" t="s">
        <v>214</v>
      </c>
      <c r="U4" s="5" t="s">
        <v>216</v>
      </c>
      <c r="W4" s="7" t="s">
        <v>214</v>
      </c>
      <c r="X4" s="5" t="s">
        <v>227</v>
      </c>
    </row>
    <row r="5" spans="2:24">
      <c r="B5" s="8" t="s">
        <v>63</v>
      </c>
      <c r="C5" s="5">
        <v>17</v>
      </c>
      <c r="E5" s="8" t="s">
        <v>121</v>
      </c>
      <c r="F5" s="9">
        <v>167041</v>
      </c>
      <c r="G5" s="9">
        <v>28</v>
      </c>
      <c r="I5" s="7" t="s">
        <v>214</v>
      </c>
      <c r="J5" s="5" t="s">
        <v>22</v>
      </c>
      <c r="K5" s="5" t="s">
        <v>37</v>
      </c>
      <c r="L5" s="5" t="s">
        <v>215</v>
      </c>
      <c r="N5" s="8" t="s">
        <v>44</v>
      </c>
      <c r="O5" s="5">
        <v>23</v>
      </c>
      <c r="Q5" s="8" t="s">
        <v>75</v>
      </c>
      <c r="R5" s="5">
        <v>12</v>
      </c>
      <c r="T5" s="8" t="s">
        <v>39</v>
      </c>
      <c r="U5" s="5">
        <v>14</v>
      </c>
      <c r="W5" s="8" t="s">
        <v>26</v>
      </c>
      <c r="X5" s="10">
        <v>2.5833333333333335</v>
      </c>
    </row>
    <row r="6" spans="2:24">
      <c r="B6" s="8" t="s">
        <v>29</v>
      </c>
      <c r="C6" s="5">
        <v>20</v>
      </c>
      <c r="E6" s="8" t="s">
        <v>40</v>
      </c>
      <c r="F6" s="9">
        <v>613842</v>
      </c>
      <c r="G6" s="9">
        <v>110</v>
      </c>
      <c r="I6" s="8" t="s">
        <v>23</v>
      </c>
      <c r="J6" s="5">
        <v>6</v>
      </c>
      <c r="K6" s="5">
        <v>3</v>
      </c>
      <c r="L6" s="5">
        <v>9</v>
      </c>
      <c r="N6" s="8" t="s">
        <v>30</v>
      </c>
      <c r="O6" s="5">
        <v>8</v>
      </c>
      <c r="Q6" s="8" t="s">
        <v>34</v>
      </c>
      <c r="R6" s="5">
        <v>11</v>
      </c>
      <c r="T6" s="8" t="s">
        <v>24</v>
      </c>
      <c r="U6" s="5">
        <v>10</v>
      </c>
      <c r="W6" s="8" t="s">
        <v>41</v>
      </c>
      <c r="X6" s="10">
        <v>3.3</v>
      </c>
    </row>
    <row r="7" spans="2:24">
      <c r="B7" s="8" t="s">
        <v>111</v>
      </c>
      <c r="C7" s="5">
        <v>13</v>
      </c>
      <c r="E7" s="8" t="s">
        <v>72</v>
      </c>
      <c r="F7" s="9">
        <v>633594</v>
      </c>
      <c r="G7" s="9">
        <v>104</v>
      </c>
      <c r="I7" s="8" t="s">
        <v>38</v>
      </c>
      <c r="J7" s="5">
        <v>7</v>
      </c>
      <c r="K7" s="5">
        <v>6</v>
      </c>
      <c r="L7" s="5">
        <v>13</v>
      </c>
      <c r="N7" s="8" t="s">
        <v>54</v>
      </c>
      <c r="O7" s="5">
        <v>19</v>
      </c>
      <c r="Q7" s="8" t="s">
        <v>96</v>
      </c>
      <c r="R7" s="5">
        <v>7</v>
      </c>
      <c r="T7" s="8" t="s">
        <v>102</v>
      </c>
      <c r="U7" s="5">
        <v>7</v>
      </c>
      <c r="W7" s="8" t="s">
        <v>81</v>
      </c>
      <c r="X7" s="10">
        <v>2.25</v>
      </c>
    </row>
    <row r="8" spans="2:24">
      <c r="B8" s="8" t="s">
        <v>215</v>
      </c>
      <c r="C8" s="5">
        <v>50</v>
      </c>
      <c r="E8" s="8" t="s">
        <v>50</v>
      </c>
      <c r="F8" s="9">
        <v>959266</v>
      </c>
      <c r="G8" s="9">
        <v>123</v>
      </c>
      <c r="I8" s="8" t="s">
        <v>59</v>
      </c>
      <c r="J8" s="5">
        <v>5</v>
      </c>
      <c r="K8" s="5">
        <v>7</v>
      </c>
      <c r="L8" s="5">
        <v>12</v>
      </c>
      <c r="N8" s="8" t="s">
        <v>215</v>
      </c>
      <c r="O8" s="5">
        <v>50</v>
      </c>
      <c r="Q8" s="8" t="s">
        <v>56</v>
      </c>
      <c r="R8" s="5">
        <v>11</v>
      </c>
      <c r="T8" s="8" t="s">
        <v>80</v>
      </c>
      <c r="U8" s="5">
        <v>10</v>
      </c>
      <c r="W8" s="8" t="s">
        <v>51</v>
      </c>
      <c r="X8" s="10">
        <v>2.3636363636363638</v>
      </c>
    </row>
    <row r="9" spans="2:24">
      <c r="E9" s="8" t="s">
        <v>25</v>
      </c>
      <c r="F9" s="9">
        <v>731170</v>
      </c>
      <c r="G9" s="9">
        <v>122</v>
      </c>
      <c r="I9" s="8" t="s">
        <v>98</v>
      </c>
      <c r="J9" s="5">
        <v>4</v>
      </c>
      <c r="K9" s="5">
        <v>3</v>
      </c>
      <c r="L9" s="5">
        <v>7</v>
      </c>
      <c r="Q9" s="8" t="s">
        <v>66</v>
      </c>
      <c r="R9" s="5">
        <v>9</v>
      </c>
      <c r="T9" s="8" t="s">
        <v>49</v>
      </c>
      <c r="U9" s="5">
        <v>9</v>
      </c>
      <c r="W9" s="8" t="s">
        <v>60</v>
      </c>
      <c r="X9" s="10">
        <v>2.5555555555555554</v>
      </c>
    </row>
    <row r="10" spans="2:24">
      <c r="E10" s="8" t="s">
        <v>215</v>
      </c>
      <c r="F10" s="5">
        <v>3104913</v>
      </c>
      <c r="G10" s="5">
        <v>487</v>
      </c>
      <c r="I10" s="8" t="s">
        <v>68</v>
      </c>
      <c r="J10" s="5">
        <v>4</v>
      </c>
      <c r="K10" s="5">
        <v>5</v>
      </c>
      <c r="L10" s="5">
        <v>9</v>
      </c>
      <c r="Q10" s="8" t="s">
        <v>215</v>
      </c>
      <c r="R10" s="5">
        <v>50</v>
      </c>
      <c r="T10" s="8" t="s">
        <v>215</v>
      </c>
      <c r="U10" s="5">
        <v>50</v>
      </c>
      <c r="W10" s="8" t="s">
        <v>215</v>
      </c>
      <c r="X10" s="5">
        <v>2.62</v>
      </c>
    </row>
    <row r="11" spans="2:24">
      <c r="B11" s="8" t="s">
        <v>63</v>
      </c>
      <c r="C11" s="5">
        <f>IFERROR(GETPIVOTDATA("Full Name",$B$4,"Employment Status","Contract"),"0")</f>
        <v>17</v>
      </c>
      <c r="I11" s="8" t="s">
        <v>215</v>
      </c>
      <c r="J11" s="5">
        <v>26</v>
      </c>
      <c r="K11" s="5">
        <v>24</v>
      </c>
      <c r="L11" s="5">
        <v>50</v>
      </c>
      <c r="N11" s="8" t="s">
        <v>44</v>
      </c>
      <c r="O11" s="5">
        <f>IFERROR(GETPIVOTDATA("Full Name",$N$4,"Work Location","Branch Office"),"0")</f>
        <v>23</v>
      </c>
    </row>
    <row r="12" spans="2:24">
      <c r="B12" s="8" t="s">
        <v>29</v>
      </c>
      <c r="C12" s="5">
        <f>IFERROR(GETPIVOTDATA("Full Name",$B$4,"Employment Status","Full-Time"),"0")</f>
        <v>20</v>
      </c>
      <c r="N12" s="8" t="s">
        <v>30</v>
      </c>
      <c r="O12" s="5">
        <f>IFERROR(GETPIVOTDATA("Full Name",$N$4,"Work Location","Head Office"),"0")</f>
        <v>8</v>
      </c>
    </row>
    <row r="13" spans="2:24">
      <c r="B13" s="8" t="s">
        <v>111</v>
      </c>
      <c r="C13" s="5">
        <f>IFERROR(GETPIVOTDATA("Full Name",$B$4,"Employment Status","Part-Time"),"0")</f>
        <v>13</v>
      </c>
      <c r="E13" s="8" t="s">
        <v>121</v>
      </c>
      <c r="F13" s="11">
        <f>IFERROR(GETPIVOTDATA("Salary",$E$4,"Job Title","Analyst"),"0")</f>
        <v>167041</v>
      </c>
      <c r="G13" s="11">
        <f>IFERROR(GETPIVOTDATA("Sum of Leave Taken",$E$4,"Job Title","Analyst"),"0")</f>
        <v>28</v>
      </c>
      <c r="N13" s="8" t="s">
        <v>54</v>
      </c>
      <c r="O13" s="5">
        <f>IFERROR(GETPIVOTDATA("Full Name",$N$4,"Work Location","Remote"),"0")</f>
        <v>19</v>
      </c>
      <c r="Q13" s="8" t="s">
        <v>75</v>
      </c>
      <c r="R13" s="5">
        <f>IFERROR(GETPIVOTDATA("Full Name",$Q$4,"Skills","Communication"),"0")</f>
        <v>12</v>
      </c>
      <c r="T13" s="8" t="s">
        <v>39</v>
      </c>
      <c r="U13" s="5">
        <f>IFERROR(GETPIVOTDATA("Full Name",$T$4,"Region","Central"),"0")</f>
        <v>14</v>
      </c>
      <c r="W13" s="8" t="s">
        <v>26</v>
      </c>
      <c r="X13" s="10">
        <f>IFERROR(GETPIVOTDATA("Performance Rating",$W$4,"Department","Finance"),"0")</f>
        <v>2.5833333333333335</v>
      </c>
    </row>
    <row r="14" spans="2:24">
      <c r="B14" s="8" t="s">
        <v>218</v>
      </c>
      <c r="C14" s="5">
        <f>SUM(C11:C13)</f>
        <v>50</v>
      </c>
      <c r="E14" s="8" t="s">
        <v>40</v>
      </c>
      <c r="F14" s="11">
        <f>IFERROR(GETPIVOTDATA("Salary",$E$4,"Job Title","Designer"),"0")</f>
        <v>613842</v>
      </c>
      <c r="G14" s="11">
        <f>IFERROR(GETPIVOTDATA("Sum of Leave Taken",$E$4,"Job Title","Designer"),"0")</f>
        <v>110</v>
      </c>
      <c r="I14" s="8" t="s">
        <v>23</v>
      </c>
      <c r="J14" s="5">
        <f>IFERROR(GETPIVOTDATA("Full Name",$I$4,"Age range","18-25"),"0")</f>
        <v>9</v>
      </c>
      <c r="N14" s="8" t="s">
        <v>218</v>
      </c>
      <c r="O14" s="5">
        <f>SUM(O11:O13)</f>
        <v>50</v>
      </c>
      <c r="P14" s="12"/>
      <c r="Q14" s="8" t="s">
        <v>34</v>
      </c>
      <c r="R14" s="5">
        <f>IFERROR(GETPIVOTDATA("Full Name",$Q$4,"Skills","Design"),"0")</f>
        <v>11</v>
      </c>
      <c r="T14" s="8" t="s">
        <v>24</v>
      </c>
      <c r="U14" s="5">
        <f>IFERROR(GETPIVOTDATA("Full Name",$T$4,"Region","East"),"0")</f>
        <v>10</v>
      </c>
      <c r="W14" s="8" t="s">
        <v>41</v>
      </c>
      <c r="X14" s="10">
        <f>IFERROR(GETPIVOTDATA("Performance Rating",$W$4,"Department","HR"),"0")</f>
        <v>3.3</v>
      </c>
    </row>
    <row r="15" spans="2:24">
      <c r="E15" s="8" t="s">
        <v>72</v>
      </c>
      <c r="F15" s="11">
        <f>IFERROR(GETPIVOTDATA("Salary",$E$4,"Job Title","Developer"),"0")</f>
        <v>633594</v>
      </c>
      <c r="G15" s="11">
        <f>IFERROR(GETPIVOTDATA("Sum of Leave Taken",$E$4,"Job Title","Developer"),"0")</f>
        <v>104</v>
      </c>
      <c r="I15" s="8" t="s">
        <v>38</v>
      </c>
      <c r="J15" s="5">
        <f>IFERROR(GETPIVOTDATA("Full Name",$I$4,"Age range","26-35"),"0")</f>
        <v>13</v>
      </c>
      <c r="Q15" s="8" t="s">
        <v>96</v>
      </c>
      <c r="R15" s="5">
        <f>IFERROR(GETPIVOTDATA("Full Name",$Q$4,"Skills","Excel"),"0")</f>
        <v>7</v>
      </c>
      <c r="T15" s="8" t="s">
        <v>102</v>
      </c>
      <c r="U15" s="5">
        <f>IFERROR(GETPIVOTDATA("Full Name",$T$4,"Region","North"),"0")</f>
        <v>7</v>
      </c>
      <c r="W15" s="8" t="s">
        <v>81</v>
      </c>
      <c r="X15" s="10">
        <f>IFERROR(GETPIVOTDATA("Performance Rating",$W$4,"Department","IT"),"0")</f>
        <v>2.25</v>
      </c>
    </row>
    <row r="16" spans="2:24">
      <c r="E16" s="8" t="s">
        <v>50</v>
      </c>
      <c r="F16" s="11">
        <f>IFERROR(GETPIVOTDATA("Salary",$E$4,"Job Title","HR Specialist"),"0")</f>
        <v>959266</v>
      </c>
      <c r="G16" s="11">
        <f>IFERROR(GETPIVOTDATA("Sum of Leave Taken",$E$4,"Job Title","HR Specialist"),"0")</f>
        <v>123</v>
      </c>
      <c r="I16" s="8" t="s">
        <v>59</v>
      </c>
      <c r="J16" s="5">
        <f>IFERROR(GETPIVOTDATA("Full Name",$I$4,"Age range","36-45"),"0")</f>
        <v>12</v>
      </c>
      <c r="Q16" s="8" t="s">
        <v>56</v>
      </c>
      <c r="R16" s="5">
        <f>IFERROR(GETPIVOTDATA("Full Name",$Q$4,"Skills","Management"),"0")</f>
        <v>11</v>
      </c>
      <c r="T16" s="8" t="s">
        <v>80</v>
      </c>
      <c r="U16" s="5">
        <f>IFERROR(GETPIVOTDATA("Full Name",$T$4,"Region","South"),"0")</f>
        <v>10</v>
      </c>
      <c r="W16" s="8" t="s">
        <v>51</v>
      </c>
      <c r="X16" s="10">
        <f>IFERROR(GETPIVOTDATA("Performance Rating",$W$4,"Department","Marketing"),"0")</f>
        <v>2.3636363636363638</v>
      </c>
    </row>
    <row r="17" spans="5:24">
      <c r="E17" s="8" t="s">
        <v>25</v>
      </c>
      <c r="F17" s="11">
        <f>IFERROR(GETPIVOTDATA("Salary",$E$4,"Job Title","Manager"),"0")</f>
        <v>731170</v>
      </c>
      <c r="G17" s="11">
        <f>IFERROR(GETPIVOTDATA("Sum of Leave Taken",$E$4,"Job Title","Manager"),"0")</f>
        <v>122</v>
      </c>
      <c r="I17" s="8" t="s">
        <v>98</v>
      </c>
      <c r="J17" s="5">
        <f>IFERROR(GETPIVOTDATA("Full Name",$I$4,"Age range","46-55"),"0")</f>
        <v>7</v>
      </c>
      <c r="N17" s="13">
        <f>SUM(O11)/SUM($O$11:$O$13)</f>
        <v>0.46</v>
      </c>
      <c r="O17" s="14">
        <f>1-N17</f>
        <v>0.54</v>
      </c>
      <c r="Q17" s="8" t="s">
        <v>66</v>
      </c>
      <c r="R17" s="5">
        <f>IFERROR(GETPIVOTDATA("Full Name",$Q$4,"Skills","Python"),"0")</f>
        <v>9</v>
      </c>
      <c r="T17" s="8" t="s">
        <v>49</v>
      </c>
      <c r="U17" s="5">
        <f>IFERROR(GETPIVOTDATA("Full Name",$T$4,"Region","West"),"0")</f>
        <v>9</v>
      </c>
      <c r="W17" s="8" t="s">
        <v>60</v>
      </c>
      <c r="X17" s="10">
        <f>IFERROR(GETPIVOTDATA("Performance Rating",$W$4,"Department","Operations"),"0")</f>
        <v>2.5555555555555554</v>
      </c>
    </row>
    <row r="18" spans="5:24">
      <c r="E18" s="8" t="s">
        <v>218</v>
      </c>
      <c r="F18" s="11">
        <f>SUM(F13:F17)</f>
        <v>3104913</v>
      </c>
      <c r="G18" s="11">
        <f>SUM(G13:G17)</f>
        <v>487</v>
      </c>
      <c r="I18" s="8" t="s">
        <v>68</v>
      </c>
      <c r="J18" s="5">
        <f>IFERROR(GETPIVOTDATA("Full Name",$I$4,"Age range","56 &lt;"),"0")</f>
        <v>9</v>
      </c>
      <c r="N18" s="13">
        <f>SUM(O12)/SUM($O$11:$O$13)</f>
        <v>0.16</v>
      </c>
      <c r="O18" s="14">
        <f t="shared" ref="O18:O19" si="0">1-N18</f>
        <v>0.84</v>
      </c>
      <c r="Q18" s="8" t="s">
        <v>218</v>
      </c>
      <c r="R18" s="5">
        <f>SUM(R13:R17)</f>
        <v>50</v>
      </c>
      <c r="T18" s="8" t="s">
        <v>218</v>
      </c>
      <c r="U18" s="5">
        <f>SUM(U13:U17)</f>
        <v>50</v>
      </c>
      <c r="W18" s="8" t="s">
        <v>218</v>
      </c>
      <c r="X18" s="10">
        <f>AVERAGE(X13:X17)</f>
        <v>2.6105050505050502</v>
      </c>
    </row>
    <row r="19" spans="5:24">
      <c r="I19" s="8" t="s">
        <v>218</v>
      </c>
      <c r="J19" s="5">
        <f>SUM(J14:J18)</f>
        <v>50</v>
      </c>
      <c r="N19" s="13">
        <f>SUM(O13)/SUM($O$11:$O$13)</f>
        <v>0.38</v>
      </c>
      <c r="O19" s="14">
        <f t="shared" si="0"/>
        <v>0.62</v>
      </c>
    </row>
    <row r="22" spans="5:24">
      <c r="I22" s="8" t="s">
        <v>37</v>
      </c>
      <c r="J22" s="5">
        <f>IFERROR(GETPIVOTDATA("Full Name",$I$4,"Gender","Male"),"0")</f>
        <v>24</v>
      </c>
      <c r="K22" s="13">
        <f>SUM(J22)/SUM($J$22:$J$23)</f>
        <v>0.48</v>
      </c>
      <c r="L22" s="14">
        <f>1-K22</f>
        <v>0.52</v>
      </c>
    </row>
    <row r="23" spans="5:24">
      <c r="I23" s="8" t="s">
        <v>22</v>
      </c>
      <c r="J23" s="5">
        <f>IFERROR(GETPIVOTDATA("Full Name",$I$4,"Gender","Female"),"0")</f>
        <v>26</v>
      </c>
      <c r="K23" s="13">
        <f t="shared" ref="K23" si="1">SUM(J23)/SUM($J$22:$J$23)</f>
        <v>0.52</v>
      </c>
      <c r="L23" s="14">
        <f>1-K23</f>
        <v>0.48</v>
      </c>
    </row>
    <row r="24" spans="5:24">
      <c r="I24" s="5" t="s">
        <v>218</v>
      </c>
      <c r="J24" s="5">
        <f>SUM(J22:J23)</f>
        <v>50</v>
      </c>
    </row>
  </sheetData>
  <mergeCells count="7">
    <mergeCell ref="T2:U2"/>
    <mergeCell ref="W2:X2"/>
    <mergeCell ref="B2:C2"/>
    <mergeCell ref="I2:L2"/>
    <mergeCell ref="N2:O2"/>
    <mergeCell ref="Q2:R2"/>
    <mergeCell ref="E2:G2"/>
  </mergeCell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S0269106</cp:lastModifiedBy>
  <dcterms:created xsi:type="dcterms:W3CDTF">2024-12-11T17:14:33Z</dcterms:created>
  <dcterms:modified xsi:type="dcterms:W3CDTF">2026-05-22T14:06:10Z</dcterms:modified>
</cp:coreProperties>
</file>